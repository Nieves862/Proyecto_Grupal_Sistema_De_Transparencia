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 de Costos Planificados" sheetId="1" r:id="rId4"/>
    <sheet state="visible" name="Detalle de Costos Reales" sheetId="2" r:id="rId5"/>
    <sheet state="visible" name="Curva S" sheetId="3" r:id="rId6"/>
  </sheets>
  <definedNames/>
  <calcPr/>
</workbook>
</file>

<file path=xl/sharedStrings.xml><?xml version="1.0" encoding="utf-8"?>
<sst xmlns="http://schemas.openxmlformats.org/spreadsheetml/2006/main" count="320" uniqueCount="141">
  <si>
    <t>Costos Planificados</t>
  </si>
  <si>
    <t>Código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</si>
  <si>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</si>
  <si>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</si>
  <si>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</si>
  <si>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</si>
  <si>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</si>
  <si>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</si>
  <si>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</si>
  <si>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</si>
  <si>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</si>
  <si>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</si>
  <si>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</si>
  <si>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</si>
  <si>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</si>
  <si>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Entregable 1</t>
  </si>
  <si>
    <t>1.1.1.1</t>
  </si>
  <si>
    <t>Planificación inicial</t>
  </si>
  <si>
    <t>1.1.1.2</t>
  </si>
  <si>
    <t>Recursos Humanos</t>
  </si>
  <si>
    <t>1.1.1.3</t>
  </si>
  <si>
    <t>Tecnologia / Software</t>
  </si>
  <si>
    <t>1.1.1.4</t>
  </si>
  <si>
    <t>Capacitacion</t>
  </si>
  <si>
    <t>1.1.1.5</t>
  </si>
  <si>
    <t>Otros gastos</t>
  </si>
  <si>
    <t>Entregable 2</t>
  </si>
  <si>
    <t>2.1.1.1</t>
  </si>
  <si>
    <t>Diseño y comunicación del sistema</t>
  </si>
  <si>
    <t>2.1.1.2</t>
  </si>
  <si>
    <t>2.1.1.3</t>
  </si>
  <si>
    <t>2.1.1.4</t>
  </si>
  <si>
    <t>2.1.1.5</t>
  </si>
  <si>
    <t>Entregable 3</t>
  </si>
  <si>
    <t>3.1.1.1</t>
  </si>
  <si>
    <t>Análisis de requisitos</t>
  </si>
  <si>
    <t>3.1.1.2</t>
  </si>
  <si>
    <t>3.1.1.3</t>
  </si>
  <si>
    <t>3.1.1.4</t>
  </si>
  <si>
    <t>3.1.1.5</t>
  </si>
  <si>
    <t>Entregable 4</t>
  </si>
  <si>
    <t>4.1.1.1</t>
  </si>
  <si>
    <t>Desarrollo del módulo de recolección</t>
  </si>
  <si>
    <t>4.1.1.3</t>
  </si>
  <si>
    <t>4.1.1.4</t>
  </si>
  <si>
    <t>4.1.1.5</t>
  </si>
  <si>
    <t>4.1.1.6</t>
  </si>
  <si>
    <t>Entregable 5</t>
  </si>
  <si>
    <t>5.1.1.1</t>
  </si>
  <si>
    <t>Integración con sistemas existentes</t>
  </si>
  <si>
    <t>5.1.1.2</t>
  </si>
  <si>
    <t>5.1.1.3</t>
  </si>
  <si>
    <t>5.1.1.4</t>
  </si>
  <si>
    <t>5.1.1.5</t>
  </si>
  <si>
    <t>Entregable 6</t>
  </si>
  <si>
    <t>6.1.1.1</t>
  </si>
  <si>
    <t>Pruebas unitarias</t>
  </si>
  <si>
    <t>6.1.1.2</t>
  </si>
  <si>
    <t>6.1.1.3</t>
  </si>
  <si>
    <t>6.1.1.4</t>
  </si>
  <si>
    <t>6.1.1.5</t>
  </si>
  <si>
    <t>Entregable 7</t>
  </si>
  <si>
    <t>7.1.1.1</t>
  </si>
  <si>
    <t>Pruebas de Integracion</t>
  </si>
  <si>
    <t>7.1.1.2</t>
  </si>
  <si>
    <t>7.1.1.3</t>
  </si>
  <si>
    <t>7.1.1.4</t>
  </si>
  <si>
    <t>7.1.1.5</t>
  </si>
  <si>
    <t>Entregable 8</t>
  </si>
  <si>
    <t>8.1.1.1</t>
  </si>
  <si>
    <t>Capacitación del personal</t>
  </si>
  <si>
    <t>8.1.1.2</t>
  </si>
  <si>
    <t>8.1.1.3</t>
  </si>
  <si>
    <t>8.1.1.4</t>
  </si>
  <si>
    <t>8.1.1.5</t>
  </si>
  <si>
    <t>Entregable9</t>
  </si>
  <si>
    <t>9.1.1.1</t>
  </si>
  <si>
    <t>Implementación piloto</t>
  </si>
  <si>
    <t>9.1.1.2</t>
  </si>
  <si>
    <t>9.1.1.3</t>
  </si>
  <si>
    <t>9.1.1.4</t>
  </si>
  <si>
    <t>9.1.1.5</t>
  </si>
  <si>
    <t>Entregable 10</t>
  </si>
  <si>
    <t>10.1.1.1</t>
  </si>
  <si>
    <t>Evaluación y ajustes</t>
  </si>
  <si>
    <t>10.1.1.2</t>
  </si>
  <si>
    <t>10.1.1.3</t>
  </si>
  <si>
    <t>10.1.1.4</t>
  </si>
  <si>
    <t>10.1.1.5</t>
  </si>
  <si>
    <t>Entregable 11</t>
  </si>
  <si>
    <t>11.1.1.1</t>
  </si>
  <si>
    <t>Despliegue completo</t>
  </si>
  <si>
    <t>11.1.1.2</t>
  </si>
  <si>
    <t>11.1.1.3</t>
  </si>
  <si>
    <t>11.1.1.4</t>
  </si>
  <si>
    <t>11.1.1.5</t>
  </si>
  <si>
    <t>Entregable 12</t>
  </si>
  <si>
    <t>12.1.1.1</t>
  </si>
  <si>
    <t>Monitoreo y soporte inicial</t>
  </si>
  <si>
    <t>12.1.1.2</t>
  </si>
  <si>
    <t>12.1.1.3</t>
  </si>
  <si>
    <t>12.1.1.4</t>
  </si>
  <si>
    <t>12.1.1.5</t>
  </si>
  <si>
    <t>TOTAL</t>
  </si>
  <si>
    <t>Costos Reales</t>
  </si>
  <si>
    <t>ENTREGABLE 1</t>
  </si>
  <si>
    <t>ENTREGABLE 2</t>
  </si>
  <si>
    <t>ENTREGABLE 3</t>
  </si>
  <si>
    <t>ENTREGABLE 4</t>
  </si>
  <si>
    <t>ENTREGABLE 5</t>
  </si>
  <si>
    <t>ENTREGABLE 6</t>
  </si>
  <si>
    <t>ENTREGABLE 7</t>
  </si>
  <si>
    <t>ENTREGABLE 8</t>
  </si>
  <si>
    <t>ENTREGABLE 9</t>
  </si>
  <si>
    <t>ENTREGABLE 10</t>
  </si>
  <si>
    <t>ENTREGABLE 11</t>
  </si>
  <si>
    <t>ENTREGABLE 12</t>
  </si>
  <si>
    <t xml:space="preserve">Curva S </t>
  </si>
  <si>
    <t>Proyecto:</t>
  </si>
  <si>
    <t>De la Obsolencencia a la Oportunidad</t>
  </si>
  <si>
    <t>ID:</t>
  </si>
  <si>
    <t>Fecha de Inicio</t>
  </si>
  <si>
    <t>Fecha Fin:</t>
  </si>
  <si>
    <t>Fecha de Corte: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</si>
  <si>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</si>
  <si>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</si>
  <si>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</si>
  <si>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</si>
  <si>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</si>
  <si>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</si>
  <si>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</si>
  <si>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</si>
  <si>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</si>
  <si>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</si>
  <si>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</si>
  <si>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</si>
  <si>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</si>
  <si>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Valor Planificado</t>
  </si>
  <si>
    <t>Valor Planificado Acumulado</t>
  </si>
  <si>
    <t>Costo Real</t>
  </si>
  <si>
    <t>Costo Real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</si>
</sst>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(* #,##0.00_);_(* \(#,##0.00\);_(* &quot;-&quot;??_);_(@_)"/>
    <numFmt numFmtId="166" formatCode="dd/mm/yyyy"/>
    <numFmt numFmtId="167" formatCode="_-&quot;$&quot;* #,##0.00_-;\-&quot;$&quot;* #,##0.00_-;_-&quot;$&quot;* &quot;-&quot;??_-;_-@"/>
  </numFmts>
  <fonts count="19">
    <font>
      <sz val="11.0"/>
      <color theme="1"/>
      <name val="Calibri"/>
      <scheme val="minor"/>
    </font>
    <font>
      <b/>
      <sz val="16.0"/>
      <color theme="1"/>
      <name val="Corbel"/>
    </font>
    <font/>
    <font>
      <sz val="11.0"/>
      <color theme="1"/>
      <name val="Corbel"/>
    </font>
    <font>
      <b/>
      <sz val="12.0"/>
      <color rgb="FFFFFFFF"/>
      <name val="Corbel"/>
    </font>
    <font>
      <sz val="11.0"/>
      <color theme="0"/>
      <name val="Corbel"/>
    </font>
    <font>
      <b/>
      <sz val="11.0"/>
      <color theme="1"/>
      <name val="Corbel"/>
    </font>
    <font>
      <b/>
      <sz val="10.0"/>
      <color theme="1"/>
      <name val="Corbel"/>
    </font>
    <font>
      <sz val="10.0"/>
      <color theme="1"/>
      <name val="Corbel"/>
    </font>
    <font>
      <b/>
      <i/>
      <sz val="10.0"/>
      <color theme="1"/>
      <name val="Corbel"/>
    </font>
    <font>
      <b/>
      <i/>
      <sz val="11.0"/>
      <color theme="1"/>
      <name val="Corbel"/>
    </font>
    <font>
      <b/>
      <sz val="10.0"/>
      <color rgb="FF000000"/>
      <name val="Corbel"/>
    </font>
    <font>
      <b/>
      <sz val="10.0"/>
      <color theme="0"/>
      <name val="Corbel"/>
    </font>
    <font>
      <sz val="11.0"/>
      <color theme="1"/>
      <name val="Calibri"/>
    </font>
    <font>
      <b/>
      <sz val="12.0"/>
      <color theme="1"/>
      <name val="Corbel"/>
    </font>
    <font>
      <color theme="1"/>
      <name val="Corbel"/>
    </font>
    <font>
      <color theme="1"/>
      <name val="Calibri"/>
      <scheme val="minor"/>
    </font>
    <font>
      <b/>
      <sz val="16.0"/>
      <color rgb="FFFFFFFF"/>
      <name val="Calibri"/>
    </font>
    <font>
      <b/>
      <sz val="11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35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uble">
        <color rgb="FF000000"/>
      </right>
      <top/>
    </border>
    <border>
      <right style="double">
        <color rgb="FF000000"/>
      </right>
      <bottom/>
    </border>
    <border>
      <left style="double">
        <color rgb="FF000000"/>
      </left>
    </border>
    <border>
      <right style="double">
        <color rgb="FF000000"/>
      </right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4" numFmtId="49" xfId="0" applyAlignment="1" applyBorder="1" applyFill="1" applyFont="1" applyNumberForma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4" fillId="3" fontId="5" numFmtId="164" xfId="0" applyAlignment="1" applyBorder="1" applyFont="1" applyNumberFormat="1">
      <alignment vertical="center"/>
    </xf>
    <xf borderId="4" fillId="3" fontId="3" numFmtId="0" xfId="0" applyBorder="1" applyFont="1"/>
    <xf borderId="13" fillId="3" fontId="6" numFmtId="49" xfId="0" applyAlignment="1" applyBorder="1" applyFont="1" applyNumberFormat="1">
      <alignment horizontal="center" vertical="top"/>
    </xf>
    <xf borderId="13" fillId="3" fontId="6" numFmtId="0" xfId="0" applyAlignment="1" applyBorder="1" applyFont="1">
      <alignment horizontal="center" vertical="top"/>
    </xf>
    <xf borderId="14" fillId="3" fontId="7" numFmtId="49" xfId="0" applyAlignment="1" applyBorder="1" applyFont="1" applyNumberFormat="1">
      <alignment horizontal="right" vertical="center"/>
    </xf>
    <xf borderId="15" fillId="0" fontId="2" numFmtId="0" xfId="0" applyBorder="1" applyFont="1"/>
    <xf borderId="16" fillId="3" fontId="7" numFmtId="0" xfId="0" applyAlignment="1" applyBorder="1" applyFont="1">
      <alignment horizontal="center" vertical="top"/>
    </xf>
    <xf borderId="12" fillId="3" fontId="3" numFmtId="0" xfId="0" applyBorder="1" applyFont="1"/>
    <xf borderId="14" fillId="3" fontId="7" numFmtId="49" xfId="0" applyAlignment="1" applyBorder="1" applyFont="1" applyNumberFormat="1">
      <alignment horizontal="center" vertical="center"/>
    </xf>
    <xf borderId="16" fillId="0" fontId="3" numFmtId="49" xfId="0" applyBorder="1" applyFont="1" applyNumberFormat="1"/>
    <xf borderId="16" fillId="0" fontId="8" numFmtId="0" xfId="0" applyAlignment="1" applyBorder="1" applyFont="1">
      <alignment readingOrder="0" vertical="top"/>
    </xf>
    <xf borderId="16" fillId="0" fontId="9" numFmtId="165" xfId="0" applyAlignment="1" applyBorder="1" applyFont="1" applyNumberFormat="1">
      <alignment horizontal="center" vertical="top"/>
    </xf>
    <xf borderId="12" fillId="4" fontId="10" numFmtId="0" xfId="0" applyBorder="1" applyFill="1" applyFont="1"/>
    <xf borderId="4" fillId="4" fontId="10" numFmtId="0" xfId="0" applyBorder="1" applyFont="1"/>
    <xf borderId="16" fillId="0" fontId="8" numFmtId="165" xfId="0" applyAlignment="1" applyBorder="1" applyFont="1" applyNumberFormat="1">
      <alignment horizontal="left" readingOrder="0" vertical="top"/>
    </xf>
    <xf borderId="16" fillId="0" fontId="8" numFmtId="165" xfId="0" applyAlignment="1" applyBorder="1" applyFont="1" applyNumberFormat="1">
      <alignment horizontal="center" vertical="top"/>
    </xf>
    <xf borderId="16" fillId="0" fontId="8" numFmtId="165" xfId="0" applyAlignment="1" applyBorder="1" applyFont="1" applyNumberFormat="1">
      <alignment horizontal="center" shrinkToFit="0" vertical="top" wrapText="1"/>
    </xf>
    <xf borderId="16" fillId="0" fontId="8" numFmtId="165" xfId="0" applyAlignment="1" applyBorder="1" applyFont="1" applyNumberFormat="1">
      <alignment readingOrder="0" vertical="top"/>
    </xf>
    <xf borderId="16" fillId="0" fontId="8" numFmtId="165" xfId="0" applyAlignment="1" applyBorder="1" applyFont="1" applyNumberFormat="1">
      <alignment vertical="top"/>
    </xf>
    <xf borderId="12" fillId="4" fontId="3" numFmtId="0" xfId="0" applyBorder="1" applyFont="1"/>
    <xf borderId="4" fillId="4" fontId="3" numFmtId="0" xfId="0" applyBorder="1" applyFont="1"/>
    <xf borderId="16" fillId="0" fontId="3" numFmtId="49" xfId="0" applyAlignment="1" applyBorder="1" applyFont="1" applyNumberFormat="1">
      <alignment readingOrder="0"/>
    </xf>
    <xf borderId="16" fillId="0" fontId="8" numFmtId="49" xfId="0" applyAlignment="1" applyBorder="1" applyFont="1" applyNumberFormat="1">
      <alignment horizontal="left" readingOrder="0" vertical="center"/>
    </xf>
    <xf borderId="16" fillId="0" fontId="8" numFmtId="49" xfId="0" applyAlignment="1" applyBorder="1" applyFont="1" applyNumberFormat="1">
      <alignment horizontal="left" vertical="center"/>
    </xf>
    <xf borderId="16" fillId="0" fontId="8" numFmtId="165" xfId="0" applyAlignment="1" applyBorder="1" applyFont="1" applyNumberFormat="1">
      <alignment horizontal="left" vertical="top"/>
    </xf>
    <xf borderId="16" fillId="0" fontId="8" numFmtId="0" xfId="0" applyAlignment="1" applyBorder="1" applyFont="1">
      <alignment horizontal="left" vertical="center"/>
    </xf>
    <xf borderId="16" fillId="0" fontId="8" numFmtId="165" xfId="0" applyAlignment="1" applyBorder="1" applyFont="1" applyNumberFormat="1">
      <alignment horizontal="left" shrinkToFit="0" vertical="top" wrapText="1"/>
    </xf>
    <xf borderId="16" fillId="0" fontId="8" numFmtId="0" xfId="0" applyAlignment="1" applyBorder="1" applyFont="1">
      <alignment vertical="top"/>
    </xf>
    <xf borderId="16" fillId="0" fontId="7" numFmtId="49" xfId="0" applyAlignment="1" applyBorder="1" applyFont="1" applyNumberFormat="1">
      <alignment horizontal="center" vertical="center"/>
    </xf>
    <xf borderId="16" fillId="0" fontId="7" numFmtId="0" xfId="0" applyAlignment="1" applyBorder="1" applyFont="1">
      <alignment horizontal="center" vertical="top"/>
    </xf>
    <xf borderId="12" fillId="0" fontId="3" numFmtId="0" xfId="0" applyBorder="1" applyFont="1"/>
    <xf borderId="4" fillId="0" fontId="3" numFmtId="0" xfId="0" applyBorder="1" applyFont="1"/>
    <xf borderId="16" fillId="0" fontId="8" numFmtId="49" xfId="0" applyAlignment="1" applyBorder="1" applyFont="1" applyNumberFormat="1">
      <alignment vertical="top"/>
    </xf>
    <xf borderId="14" fillId="3" fontId="11" numFmtId="49" xfId="0" applyAlignment="1" applyBorder="1" applyFont="1" applyNumberFormat="1">
      <alignment horizontal="center" readingOrder="0" vertical="center"/>
    </xf>
    <xf borderId="16" fillId="3" fontId="12" numFmtId="0" xfId="0" applyAlignment="1" applyBorder="1" applyFont="1">
      <alignment horizontal="center" vertical="top"/>
    </xf>
    <xf borderId="16" fillId="0" fontId="7" numFmtId="0" xfId="0" applyAlignment="1" applyBorder="1" applyFont="1">
      <alignment vertical="top"/>
    </xf>
    <xf borderId="16" fillId="5" fontId="6" numFmtId="0" xfId="0" applyAlignment="1" applyBorder="1" applyFill="1" applyFont="1">
      <alignment horizontal="center"/>
    </xf>
    <xf borderId="16" fillId="5" fontId="3" numFmtId="165" xfId="0" applyBorder="1" applyFont="1" applyNumberFormat="1"/>
    <xf borderId="17" fillId="4" fontId="13" numFmtId="49" xfId="0" applyBorder="1" applyFont="1" applyNumberFormat="1"/>
    <xf borderId="17" fillId="4" fontId="3" numFmtId="0" xfId="0" applyBorder="1" applyFont="1"/>
    <xf borderId="4" fillId="4" fontId="13" numFmtId="49" xfId="0" applyBorder="1" applyFont="1" applyNumberFormat="1"/>
    <xf borderId="18" fillId="6" fontId="1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4" fillId="6" fontId="3" numFmtId="0" xfId="0" applyAlignment="1" applyBorder="1" applyFont="1">
      <alignment shrinkToFit="0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0" fillId="7" fontId="14" numFmtId="0" xfId="0" applyAlignment="1" applyBorder="1" applyFill="1" applyFont="1">
      <alignment horizontal="center" shrinkToFit="0" vertical="center" wrapText="1"/>
    </xf>
    <xf borderId="4" fillId="7" fontId="3" numFmtId="164" xfId="0" applyAlignment="1" applyBorder="1" applyFont="1" applyNumberFormat="1">
      <alignment shrinkToFit="0" vertical="center" wrapText="1"/>
    </xf>
    <xf borderId="4" fillId="7" fontId="3" numFmtId="0" xfId="0" applyAlignment="1" applyBorder="1" applyFont="1">
      <alignment shrinkToFit="0" wrapText="1"/>
    </xf>
    <xf borderId="13" fillId="7" fontId="6" numFmtId="0" xfId="0" applyAlignment="1" applyBorder="1" applyFont="1">
      <alignment horizontal="center" shrinkToFit="0" vertical="top" wrapText="1"/>
    </xf>
    <xf borderId="14" fillId="7" fontId="7" numFmtId="0" xfId="0" applyAlignment="1" applyBorder="1" applyFont="1">
      <alignment horizontal="right" shrinkToFit="0" vertical="center" wrapText="1"/>
    </xf>
    <xf borderId="16" fillId="7" fontId="7" numFmtId="0" xfId="0" applyAlignment="1" applyBorder="1" applyFont="1">
      <alignment horizontal="center" shrinkToFit="0" vertical="top" wrapText="1"/>
    </xf>
    <xf borderId="12" fillId="7" fontId="3" numFmtId="0" xfId="0" applyAlignment="1" applyBorder="1" applyFont="1">
      <alignment shrinkToFit="0" wrapText="1"/>
    </xf>
    <xf borderId="16" fillId="7" fontId="8" numFmtId="165" xfId="0" applyAlignment="1" applyBorder="1" applyFont="1" applyNumberFormat="1">
      <alignment horizontal="center" shrinkToFit="0" vertical="top" wrapText="1"/>
    </xf>
    <xf borderId="16" fillId="0" fontId="3" numFmtId="49" xfId="0" applyAlignment="1" applyBorder="1" applyFont="1" applyNumberFormat="1">
      <alignment vertical="bottom"/>
    </xf>
    <xf borderId="16" fillId="0" fontId="15" numFmtId="0" xfId="0" applyAlignment="1" applyBorder="1" applyFont="1">
      <alignment vertical="top"/>
    </xf>
    <xf borderId="16" fillId="0" fontId="13" numFmtId="165" xfId="0" applyAlignment="1" applyBorder="1" applyFont="1" applyNumberFormat="1">
      <alignment vertical="top"/>
    </xf>
    <xf borderId="12" fillId="4" fontId="3" numFmtId="0" xfId="0" applyAlignment="1" applyBorder="1" applyFont="1">
      <alignment shrinkToFit="0" wrapText="1"/>
    </xf>
    <xf borderId="4" fillId="4" fontId="3" numFmtId="0" xfId="0" applyAlignment="1" applyBorder="1" applyFont="1">
      <alignment shrinkToFit="0" wrapText="1"/>
    </xf>
    <xf borderId="16" fillId="0" fontId="15" numFmtId="165" xfId="0" applyAlignment="1" applyBorder="1" applyFont="1" applyNumberFormat="1">
      <alignment vertical="top"/>
    </xf>
    <xf borderId="16" fillId="0" fontId="15" numFmtId="165" xfId="0" applyAlignment="1" applyBorder="1" applyFont="1" applyNumberFormat="1">
      <alignment horizontal="right" readingOrder="0" vertical="top"/>
    </xf>
    <xf borderId="16" fillId="0" fontId="15" numFmtId="49" xfId="0" applyBorder="1" applyFont="1" applyNumberFormat="1"/>
    <xf borderId="16" fillId="0" fontId="16" numFmtId="165" xfId="0" applyAlignment="1" applyBorder="1" applyFont="1" applyNumberFormat="1">
      <alignment readingOrder="0"/>
    </xf>
    <xf borderId="16" fillId="0" fontId="7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6" fillId="0" fontId="8" numFmtId="3" xfId="0" applyAlignment="1" applyBorder="1" applyFont="1" applyNumberFormat="1">
      <alignment readingOrder="0" vertical="top"/>
    </xf>
    <xf borderId="16" fillId="7" fontId="11" numFmtId="0" xfId="0" applyAlignment="1" applyBorder="1" applyFont="1">
      <alignment horizontal="center" shrinkToFit="0" vertical="top" wrapText="1"/>
    </xf>
    <xf borderId="16" fillId="0" fontId="8" numFmtId="49" xfId="0" applyAlignment="1" applyBorder="1" applyFont="1" applyNumberFormat="1">
      <alignment horizontal="left" shrinkToFit="0" vertical="center" wrapText="1"/>
    </xf>
    <xf borderId="16" fillId="8" fontId="8" numFmtId="49" xfId="0" applyAlignment="1" applyBorder="1" applyFill="1" applyFont="1" applyNumberFormat="1">
      <alignment horizontal="left" shrinkToFit="0" vertical="center" wrapText="1"/>
    </xf>
    <xf borderId="16" fillId="7" fontId="11" numFmtId="0" xfId="0" applyAlignment="1" applyBorder="1" applyFont="1">
      <alignment horizontal="center" readingOrder="0" shrinkToFit="0" vertical="top" wrapText="1"/>
    </xf>
    <xf borderId="16" fillId="8" fontId="8" numFmtId="165" xfId="0" applyAlignment="1" applyBorder="1" applyFont="1" applyNumberFormat="1">
      <alignment horizontal="center" shrinkToFit="0" vertical="top" wrapText="1"/>
    </xf>
    <xf borderId="12" fillId="8" fontId="3" numFmtId="0" xfId="0" applyAlignment="1" applyBorder="1" applyFont="1">
      <alignment shrinkToFit="0" wrapText="1"/>
    </xf>
    <xf borderId="4" fillId="8" fontId="3" numFmtId="0" xfId="0" applyAlignment="1" applyBorder="1" applyFont="1">
      <alignment shrinkToFit="0" wrapText="1"/>
    </xf>
    <xf borderId="16" fillId="8" fontId="7" numFmtId="165" xfId="0" applyAlignment="1" applyBorder="1" applyFont="1" applyNumberFormat="1">
      <alignment horizontal="center" readingOrder="0" shrinkToFit="0" vertical="center" wrapText="1"/>
    </xf>
    <xf borderId="16" fillId="4" fontId="13" numFmtId="0" xfId="0" applyAlignment="1" applyBorder="1" applyFont="1">
      <alignment shrinkToFit="0" wrapText="1"/>
    </xf>
    <xf borderId="16" fillId="5" fontId="6" numFmtId="0" xfId="0" applyAlignment="1" applyBorder="1" applyFont="1">
      <alignment horizontal="center" shrinkToFit="0" wrapText="1"/>
    </xf>
    <xf borderId="16" fillId="5" fontId="3" numFmtId="165" xfId="0" applyAlignment="1" applyBorder="1" applyFont="1" applyNumberFormat="1">
      <alignment shrinkToFit="0" wrapText="1"/>
    </xf>
    <xf borderId="17" fillId="4" fontId="13" numFmtId="0" xfId="0" applyAlignment="1" applyBorder="1" applyFont="1">
      <alignment shrinkToFit="0" wrapText="1"/>
    </xf>
    <xf borderId="17" fillId="4" fontId="3" numFmtId="0" xfId="0" applyAlignment="1" applyBorder="1" applyFont="1">
      <alignment shrinkToFit="0" wrapText="1"/>
    </xf>
    <xf borderId="4" fillId="4" fontId="13" numFmtId="0" xfId="0" applyAlignment="1" applyBorder="1" applyFont="1">
      <alignment shrinkToFit="0" wrapText="1"/>
    </xf>
    <xf borderId="1" fillId="9" fontId="17" numFmtId="0" xfId="0" applyAlignment="1" applyBorder="1" applyFill="1" applyFont="1">
      <alignment horizontal="center" vertical="center"/>
    </xf>
    <xf borderId="26" fillId="0" fontId="2" numFmtId="0" xfId="0" applyBorder="1" applyFont="1"/>
    <xf borderId="0" fillId="0" fontId="13" numFmtId="0" xfId="0" applyFont="1"/>
    <xf borderId="27" fillId="0" fontId="2" numFmtId="0" xfId="0" applyBorder="1" applyFont="1"/>
    <xf borderId="28" fillId="0" fontId="13" numFmtId="0" xfId="0" applyBorder="1" applyFont="1"/>
    <xf borderId="29" fillId="0" fontId="13" numFmtId="0" xfId="0" applyBorder="1" applyFont="1"/>
    <xf borderId="16" fillId="9" fontId="18" numFmtId="0" xfId="0" applyAlignment="1" applyBorder="1" applyFont="1">
      <alignment horizontal="right"/>
    </xf>
    <xf borderId="14" fillId="0" fontId="13" numFmtId="0" xfId="0" applyAlignment="1" applyBorder="1" applyFont="1">
      <alignment readingOrder="0"/>
    </xf>
    <xf borderId="30" fillId="0" fontId="13" numFmtId="0" xfId="0" applyBorder="1" applyFont="1"/>
    <xf borderId="31" fillId="0" fontId="13" numFmtId="0" xfId="0" applyBorder="1" applyFont="1"/>
    <xf borderId="14" fillId="0" fontId="13" numFmtId="0" xfId="0" applyAlignment="1" applyBorder="1" applyFont="1">
      <alignment horizontal="left"/>
    </xf>
    <xf borderId="30" fillId="0" fontId="2" numFmtId="0" xfId="0" applyBorder="1" applyFont="1"/>
    <xf borderId="31" fillId="0" fontId="2" numFmtId="0" xfId="0" applyBorder="1" applyFont="1"/>
    <xf borderId="14" fillId="0" fontId="13" numFmtId="164" xfId="0" applyAlignment="1" applyBorder="1" applyFont="1" applyNumberFormat="1">
      <alignment horizontal="left" readingOrder="0"/>
    </xf>
    <xf borderId="14" fillId="9" fontId="18" numFmtId="0" xfId="0" applyAlignment="1" applyBorder="1" applyFont="1">
      <alignment horizontal="right"/>
    </xf>
    <xf borderId="14" fillId="0" fontId="13" numFmtId="166" xfId="0" applyAlignment="1" applyBorder="1" applyFont="1" applyNumberFormat="1">
      <alignment horizontal="left" readingOrder="0"/>
    </xf>
    <xf borderId="0" fillId="0" fontId="18" numFmtId="0" xfId="0" applyAlignment="1" applyFont="1">
      <alignment horizontal="right"/>
    </xf>
    <xf borderId="0" fillId="0" fontId="13" numFmtId="0" xfId="0" applyAlignment="1" applyFont="1">
      <alignment horizontal="left"/>
    </xf>
    <xf borderId="29" fillId="0" fontId="13" numFmtId="0" xfId="0" applyAlignment="1" applyBorder="1" applyFont="1">
      <alignment horizontal="left"/>
    </xf>
    <xf borderId="16" fillId="9" fontId="13" numFmtId="0" xfId="0" applyBorder="1" applyFont="1"/>
    <xf borderId="14" fillId="9" fontId="18" numFmtId="0" xfId="0" applyAlignment="1" applyBorder="1" applyFont="1">
      <alignment horizontal="center"/>
    </xf>
    <xf borderId="16" fillId="9" fontId="18" numFmtId="0" xfId="0" applyBorder="1" applyFont="1"/>
    <xf borderId="16" fillId="9" fontId="18" numFmtId="0" xfId="0" applyAlignment="1" applyBorder="1" applyFont="1">
      <alignment horizontal="center"/>
    </xf>
    <xf borderId="16" fillId="0" fontId="13" numFmtId="167" xfId="0" applyBorder="1" applyFont="1" applyNumberFormat="1"/>
    <xf borderId="0" fillId="0" fontId="13" numFmtId="0" xfId="0" applyAlignment="1" applyFont="1">
      <alignment shrinkToFit="0" wrapText="1"/>
    </xf>
    <xf borderId="0" fillId="0" fontId="13" numFmtId="0" xfId="0" applyAlignment="1" applyFont="1">
      <alignment vertical="center"/>
    </xf>
    <xf borderId="0" fillId="0" fontId="13" numFmtId="9" xfId="0" applyAlignment="1" applyFont="1" applyNumberFormat="1">
      <alignment vertical="center"/>
    </xf>
    <xf borderId="32" fillId="0" fontId="13" numFmtId="0" xfId="0" applyBorder="1" applyFont="1"/>
    <xf borderId="33" fillId="0" fontId="13" numFmtId="0" xfId="0" applyBorder="1" applyFont="1"/>
    <xf borderId="34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56920877848015"/>
          <c:y val="0.01706998513297726"/>
          <c:w val="0.7060261974295466"/>
          <c:h val="0.8988694455151148"/>
        </c:manualLayout>
      </c:layout>
      <c:lineChart>
        <c:ser>
          <c:idx val="0"/>
          <c:order val="0"/>
          <c:tx>
            <c:v>Valor Planificado Acumulado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'Curva S'!$D$10:$O$10</c:f>
            </c:strRef>
          </c:cat>
          <c:val>
            <c:numRef>
              <c:f>'Curva S'!$D$12:$O$12</c:f>
              <c:numCache/>
            </c:numRef>
          </c:val>
          <c:smooth val="0"/>
        </c:ser>
        <c:ser>
          <c:idx val="1"/>
          <c:order val="1"/>
          <c:tx>
            <c:v>Costo Real Acumulado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'Curva S'!$D$10:$O$10</c:f>
            </c:strRef>
          </c:cat>
          <c:val>
            <c:numRef>
              <c:f>'Curva S'!$D$14:$O$14</c:f>
              <c:numCache/>
            </c:numRef>
          </c:val>
          <c:smooth val="0"/>
        </c:ser>
        <c:axId val="2008744244"/>
        <c:axId val="338054206"/>
      </c:lineChart>
      <c:catAx>
        <c:axId val="2008744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8054206"/>
      </c:catAx>
      <c:valAx>
        <c:axId val="338054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874424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14</xdr:row>
      <xdr:rowOff>142875</xdr:rowOff>
    </xdr:from>
    <xdr:ext cx="8753475" cy="46863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86"/>
    <col customWidth="1" min="2" max="2" width="68.86"/>
    <col customWidth="1" min="3" max="3" width="13.0"/>
    <col customWidth="1" min="4" max="4" width="13.14"/>
    <col customWidth="1" min="5" max="5" width="15.0"/>
    <col customWidth="1" min="6" max="6" width="12.29"/>
    <col customWidth="1" min="7" max="7" width="15.29"/>
    <col customWidth="1" min="8" max="8" width="13.0"/>
    <col customWidth="1" min="9" max="9" width="14.0"/>
    <col customWidth="1" min="10" max="10" width="13.43"/>
    <col customWidth="1" min="11" max="11" width="12.71"/>
    <col customWidth="1" min="12" max="12" width="13.57"/>
    <col customWidth="1" min="13" max="13" width="12.86"/>
    <col customWidth="1" min="14" max="14" width="10.43"/>
    <col customWidth="1" min="15" max="26" width="11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0"/>
      <c r="B4" s="11"/>
      <c r="C4" s="1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7" t="s">
        <v>2</v>
      </c>
      <c r="B6" s="18"/>
      <c r="C6" s="19" t="s">
        <v>3</v>
      </c>
      <c r="D6" s="19" t="s">
        <v>4</v>
      </c>
      <c r="E6" s="19" t="s">
        <v>5</v>
      </c>
      <c r="F6" s="19" t="s">
        <v>6</v>
      </c>
      <c r="G6" s="19" t="s">
        <v>7</v>
      </c>
      <c r="H6" s="19" t="s">
        <v>8</v>
      </c>
      <c r="I6" s="19" t="s">
        <v>9</v>
      </c>
      <c r="J6" s="19" t="s">
        <v>10</v>
      </c>
      <c r="K6" s="19" t="s">
        <v>11</v>
      </c>
      <c r="L6" s="19" t="s">
        <v>12</v>
      </c>
      <c r="M6" s="19" t="s">
        <v>13</v>
      </c>
      <c r="N6" s="19" t="s">
        <v>14</v>
      </c>
      <c r="O6" s="20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0" customHeight="1">
      <c r="A7" s="21" t="s">
        <v>15</v>
      </c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2" t="s">
        <v>16</v>
      </c>
      <c r="B8" s="23" t="s">
        <v>17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2" t="s">
        <v>18</v>
      </c>
      <c r="B9" s="27" t="s">
        <v>19</v>
      </c>
      <c r="C9" s="28"/>
      <c r="D9" s="29"/>
      <c r="E9" s="28"/>
      <c r="F9" s="30">
        <v>8000.0</v>
      </c>
      <c r="G9" s="31"/>
      <c r="H9" s="31"/>
      <c r="I9" s="31"/>
      <c r="J9" s="31"/>
      <c r="K9" s="31"/>
      <c r="L9" s="31"/>
      <c r="M9" s="31"/>
      <c r="N9" s="31"/>
      <c r="O9" s="32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22" t="s">
        <v>20</v>
      </c>
      <c r="B10" s="27" t="s">
        <v>21</v>
      </c>
      <c r="C10" s="28"/>
      <c r="D10" s="29"/>
      <c r="E10" s="28"/>
      <c r="F10" s="30">
        <v>2000.0</v>
      </c>
      <c r="G10" s="30"/>
      <c r="H10" s="31"/>
      <c r="I10" s="31"/>
      <c r="J10" s="31"/>
      <c r="K10" s="31"/>
      <c r="L10" s="31"/>
      <c r="M10" s="31"/>
      <c r="N10" s="31"/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4" t="s">
        <v>22</v>
      </c>
      <c r="B11" s="27" t="s">
        <v>23</v>
      </c>
      <c r="C11" s="28"/>
      <c r="D11" s="29"/>
      <c r="E11" s="28"/>
      <c r="F11" s="30">
        <v>1000.0</v>
      </c>
      <c r="G11" s="30"/>
      <c r="H11" s="31"/>
      <c r="I11" s="31"/>
      <c r="J11" s="31"/>
      <c r="K11" s="31"/>
      <c r="L11" s="31"/>
      <c r="M11" s="31"/>
      <c r="N11" s="31"/>
      <c r="O11" s="32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5" t="s">
        <v>24</v>
      </c>
      <c r="B12" s="27" t="s">
        <v>25</v>
      </c>
      <c r="C12" s="28"/>
      <c r="D12" s="29"/>
      <c r="E12" s="28"/>
      <c r="F12" s="30">
        <v>500.0</v>
      </c>
      <c r="G12" s="30"/>
      <c r="H12" s="31"/>
      <c r="I12" s="31"/>
      <c r="J12" s="31"/>
      <c r="K12" s="31"/>
      <c r="L12" s="31"/>
      <c r="M12" s="31"/>
      <c r="N12" s="31"/>
      <c r="O12" s="3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6"/>
      <c r="B13" s="37"/>
      <c r="C13" s="28"/>
      <c r="D13" s="29"/>
      <c r="E13" s="28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8.0" customHeight="1">
      <c r="A14" s="21" t="s">
        <v>26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22" t="s">
        <v>27</v>
      </c>
      <c r="B15" s="23" t="s">
        <v>28</v>
      </c>
      <c r="C15" s="28"/>
      <c r="D15" s="38"/>
      <c r="E15" s="28"/>
      <c r="F15" s="31"/>
      <c r="G15" s="31"/>
      <c r="H15" s="31"/>
      <c r="I15" s="31"/>
      <c r="J15" s="31"/>
      <c r="K15" s="31"/>
      <c r="L15" s="31"/>
      <c r="M15" s="31"/>
      <c r="N15" s="31"/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22" t="s">
        <v>29</v>
      </c>
      <c r="B16" s="27" t="s">
        <v>19</v>
      </c>
      <c r="C16" s="28"/>
      <c r="D16" s="38"/>
      <c r="E16" s="28"/>
      <c r="F16" s="30">
        <v>12000.0</v>
      </c>
      <c r="G16" s="31"/>
      <c r="H16" s="31"/>
      <c r="I16" s="31"/>
      <c r="J16" s="31"/>
      <c r="K16" s="31"/>
      <c r="L16" s="31"/>
      <c r="M16" s="31"/>
      <c r="N16" s="31"/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22" t="s">
        <v>30</v>
      </c>
      <c r="B17" s="27" t="s">
        <v>21</v>
      </c>
      <c r="C17" s="28"/>
      <c r="D17" s="28"/>
      <c r="E17" s="28"/>
      <c r="F17" s="30">
        <v>5000.0</v>
      </c>
      <c r="G17" s="31"/>
      <c r="H17" s="31"/>
      <c r="I17" s="31"/>
      <c r="J17" s="31"/>
      <c r="K17" s="31"/>
      <c r="L17" s="31"/>
      <c r="M17" s="31"/>
      <c r="N17" s="31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22" t="s">
        <v>31</v>
      </c>
      <c r="B18" s="27" t="s">
        <v>23</v>
      </c>
      <c r="C18" s="28"/>
      <c r="D18" s="28"/>
      <c r="E18" s="28"/>
      <c r="F18" s="30">
        <v>2000.0</v>
      </c>
      <c r="G18" s="31"/>
      <c r="H18" s="31"/>
      <c r="I18" s="31"/>
      <c r="J18" s="31"/>
      <c r="K18" s="31"/>
      <c r="L18" s="31"/>
      <c r="M18" s="31"/>
      <c r="N18" s="31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22" t="s">
        <v>32</v>
      </c>
      <c r="B19" s="27" t="s">
        <v>25</v>
      </c>
      <c r="C19" s="28"/>
      <c r="D19" s="38"/>
      <c r="E19" s="28"/>
      <c r="F19" s="31"/>
      <c r="G19" s="30">
        <v>500.0</v>
      </c>
      <c r="H19" s="31"/>
      <c r="I19" s="31"/>
      <c r="J19" s="31"/>
      <c r="K19" s="31"/>
      <c r="L19" s="31"/>
      <c r="M19" s="31"/>
      <c r="N19" s="31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22"/>
      <c r="B20" s="39"/>
      <c r="C20" s="28"/>
      <c r="D20" s="28"/>
      <c r="E20" s="28"/>
      <c r="F20" s="31"/>
      <c r="G20" s="31"/>
      <c r="H20" s="31"/>
      <c r="I20" s="31"/>
      <c r="J20" s="31"/>
      <c r="K20" s="31"/>
      <c r="L20" s="31"/>
      <c r="M20" s="31"/>
      <c r="N20" s="31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21" t="s">
        <v>33</v>
      </c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2" t="s">
        <v>34</v>
      </c>
      <c r="B22" s="23" t="s">
        <v>35</v>
      </c>
      <c r="C22" s="28"/>
      <c r="D22" s="38"/>
      <c r="E22" s="28"/>
      <c r="F22" s="38"/>
      <c r="G22" s="31"/>
      <c r="H22" s="31"/>
      <c r="I22" s="31"/>
      <c r="J22" s="31"/>
      <c r="K22" s="31"/>
      <c r="L22" s="31"/>
      <c r="M22" s="31"/>
      <c r="N22" s="31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22" t="s">
        <v>36</v>
      </c>
      <c r="B23" s="27" t="s">
        <v>19</v>
      </c>
      <c r="C23" s="28"/>
      <c r="D23" s="38"/>
      <c r="E23" s="28"/>
      <c r="F23" s="38"/>
      <c r="G23" s="30">
        <v>8000.0</v>
      </c>
      <c r="H23" s="31"/>
      <c r="I23" s="31"/>
      <c r="J23" s="31"/>
      <c r="K23" s="31"/>
      <c r="L23" s="31"/>
      <c r="M23" s="31"/>
      <c r="N23" s="31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22" t="s">
        <v>37</v>
      </c>
      <c r="B24" s="27" t="s">
        <v>21</v>
      </c>
      <c r="C24" s="28"/>
      <c r="D24" s="38"/>
      <c r="E24" s="28"/>
      <c r="F24" s="38"/>
      <c r="G24" s="30">
        <v>1000.0</v>
      </c>
      <c r="H24" s="31"/>
      <c r="I24" s="31"/>
      <c r="J24" s="31"/>
      <c r="K24" s="31"/>
      <c r="L24" s="31"/>
      <c r="M24" s="31"/>
      <c r="N24" s="31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22" t="s">
        <v>38</v>
      </c>
      <c r="B25" s="27" t="s">
        <v>23</v>
      </c>
      <c r="C25" s="28"/>
      <c r="D25" s="38"/>
      <c r="E25" s="28"/>
      <c r="F25" s="38"/>
      <c r="G25" s="30">
        <v>500.0</v>
      </c>
      <c r="H25" s="31"/>
      <c r="I25" s="31"/>
      <c r="J25" s="31"/>
      <c r="K25" s="31"/>
      <c r="L25" s="31"/>
      <c r="M25" s="31"/>
      <c r="N25" s="31"/>
      <c r="O25" s="3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22" t="s">
        <v>39</v>
      </c>
      <c r="B26" s="27" t="s">
        <v>25</v>
      </c>
      <c r="C26" s="28"/>
      <c r="D26" s="38"/>
      <c r="E26" s="28"/>
      <c r="F26" s="38"/>
      <c r="G26" s="30">
        <v>300.0</v>
      </c>
      <c r="H26" s="31"/>
      <c r="I26" s="31"/>
      <c r="J26" s="31"/>
      <c r="K26" s="31"/>
      <c r="L26" s="31"/>
      <c r="M26" s="31"/>
      <c r="N26" s="31"/>
      <c r="O26" s="3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6"/>
      <c r="B27" s="39"/>
      <c r="C27" s="29"/>
      <c r="D27" s="38"/>
      <c r="E27" s="28"/>
      <c r="F27" s="38"/>
      <c r="G27" s="31"/>
      <c r="H27" s="31"/>
      <c r="I27" s="31"/>
      <c r="J27" s="31"/>
      <c r="K27" s="31"/>
      <c r="L27" s="31"/>
      <c r="M27" s="31"/>
      <c r="N27" s="31"/>
      <c r="O27" s="32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7.25" customHeight="1">
      <c r="A28" s="21" t="s">
        <v>40</v>
      </c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2" t="s">
        <v>41</v>
      </c>
      <c r="B29" s="23" t="s">
        <v>42</v>
      </c>
      <c r="C29" s="28"/>
      <c r="D29" s="29"/>
      <c r="E29" s="28"/>
      <c r="F29" s="31"/>
      <c r="G29" s="31"/>
      <c r="H29" s="31"/>
      <c r="I29" s="31"/>
      <c r="J29" s="31"/>
      <c r="K29" s="31"/>
      <c r="L29" s="31"/>
      <c r="M29" s="31"/>
      <c r="N29" s="31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22" t="s">
        <v>43</v>
      </c>
      <c r="B30" s="27" t="s">
        <v>19</v>
      </c>
      <c r="C30" s="40"/>
      <c r="D30" s="40"/>
      <c r="E30" s="40"/>
      <c r="F30" s="40"/>
      <c r="G30" s="23">
        <v>20000.0</v>
      </c>
      <c r="H30" s="40"/>
      <c r="I30" s="40"/>
      <c r="J30" s="40"/>
      <c r="K30" s="40"/>
      <c r="L30" s="40"/>
      <c r="M30" s="40"/>
      <c r="N30" s="40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22" t="s">
        <v>44</v>
      </c>
      <c r="B31" s="27" t="s">
        <v>21</v>
      </c>
      <c r="C31" s="40"/>
      <c r="D31" s="40"/>
      <c r="E31" s="40"/>
      <c r="F31" s="40"/>
      <c r="G31" s="23">
        <v>8000.0</v>
      </c>
      <c r="H31" s="40"/>
      <c r="I31" s="40"/>
      <c r="J31" s="40"/>
      <c r="K31" s="40"/>
      <c r="L31" s="40"/>
      <c r="M31" s="40"/>
      <c r="N31" s="40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22" t="s">
        <v>45</v>
      </c>
      <c r="B32" s="27" t="s">
        <v>23</v>
      </c>
      <c r="C32" s="40"/>
      <c r="D32" s="40"/>
      <c r="E32" s="40"/>
      <c r="F32" s="40"/>
      <c r="G32" s="40"/>
      <c r="H32" s="23">
        <v>1000.0</v>
      </c>
      <c r="I32" s="40"/>
      <c r="J32" s="40"/>
      <c r="K32" s="40"/>
      <c r="L32" s="40"/>
      <c r="M32" s="40"/>
      <c r="N32" s="40"/>
      <c r="O32" s="32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22" t="s">
        <v>46</v>
      </c>
      <c r="B33" s="27" t="s">
        <v>25</v>
      </c>
      <c r="C33" s="40"/>
      <c r="D33" s="40"/>
      <c r="E33" s="40"/>
      <c r="F33" s="40"/>
      <c r="G33" s="40"/>
      <c r="H33" s="23">
        <v>2000.0</v>
      </c>
      <c r="I33" s="40"/>
      <c r="J33" s="40"/>
      <c r="K33" s="40"/>
      <c r="L33" s="40"/>
      <c r="M33" s="40"/>
      <c r="N33" s="40"/>
      <c r="O33" s="32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8.0" customHeight="1">
      <c r="A34" s="41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3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0" customHeight="1">
      <c r="A35" s="21" t="s">
        <v>47</v>
      </c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2" t="s">
        <v>48</v>
      </c>
      <c r="B36" s="23" t="s">
        <v>49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2" t="s">
        <v>50</v>
      </c>
      <c r="B37" s="27" t="s">
        <v>19</v>
      </c>
      <c r="C37" s="40"/>
      <c r="D37" s="40"/>
      <c r="E37" s="40"/>
      <c r="F37" s="40"/>
      <c r="G37" s="40"/>
      <c r="H37" s="40"/>
      <c r="I37" s="23">
        <v>15000.0</v>
      </c>
      <c r="J37" s="40"/>
      <c r="K37" s="40"/>
      <c r="L37" s="40"/>
      <c r="M37" s="40"/>
      <c r="N37" s="40"/>
      <c r="O37" s="32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22" t="s">
        <v>51</v>
      </c>
      <c r="B38" s="27" t="s">
        <v>21</v>
      </c>
      <c r="C38" s="40"/>
      <c r="D38" s="40"/>
      <c r="E38" s="40"/>
      <c r="F38" s="40"/>
      <c r="G38" s="40"/>
      <c r="H38" s="40"/>
      <c r="I38" s="23">
        <v>6000.0</v>
      </c>
      <c r="J38" s="40"/>
      <c r="K38" s="40"/>
      <c r="L38" s="40"/>
      <c r="M38" s="40"/>
      <c r="N38" s="40"/>
      <c r="O38" s="32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22" t="s">
        <v>52</v>
      </c>
      <c r="B39" s="27" t="s">
        <v>23</v>
      </c>
      <c r="C39" s="40"/>
      <c r="D39" s="40"/>
      <c r="E39" s="40"/>
      <c r="F39" s="40"/>
      <c r="G39" s="40"/>
      <c r="H39" s="40"/>
      <c r="I39" s="40"/>
      <c r="J39" s="23">
        <v>1500.0</v>
      </c>
      <c r="K39" s="40"/>
      <c r="L39" s="40"/>
      <c r="M39" s="40"/>
      <c r="N39" s="40"/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22" t="s">
        <v>53</v>
      </c>
      <c r="B40" s="27" t="s">
        <v>25</v>
      </c>
      <c r="C40" s="40"/>
      <c r="D40" s="40"/>
      <c r="E40" s="40"/>
      <c r="F40" s="40"/>
      <c r="G40" s="40"/>
      <c r="H40" s="40"/>
      <c r="I40" s="40"/>
      <c r="J40" s="23">
        <v>1000.0</v>
      </c>
      <c r="K40" s="40"/>
      <c r="L40" s="40"/>
      <c r="M40" s="40"/>
      <c r="N40" s="40"/>
      <c r="O40" s="32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45"/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2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21" t="s">
        <v>54</v>
      </c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2" t="s">
        <v>55</v>
      </c>
      <c r="B43" s="23" t="s">
        <v>56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32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22" t="s">
        <v>57</v>
      </c>
      <c r="B44" s="27" t="s">
        <v>19</v>
      </c>
      <c r="C44" s="40"/>
      <c r="D44" s="40"/>
      <c r="E44" s="40"/>
      <c r="F44" s="40"/>
      <c r="G44" s="40"/>
      <c r="H44" s="40"/>
      <c r="I44" s="23">
        <v>8000.0</v>
      </c>
      <c r="J44" s="23"/>
      <c r="K44" s="40"/>
      <c r="L44" s="40"/>
      <c r="M44" s="40"/>
      <c r="N44" s="40"/>
      <c r="O44" s="32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22" t="s">
        <v>58</v>
      </c>
      <c r="B45" s="27" t="s">
        <v>21</v>
      </c>
      <c r="C45" s="40"/>
      <c r="D45" s="40"/>
      <c r="E45" s="40"/>
      <c r="F45" s="40"/>
      <c r="G45" s="40"/>
      <c r="H45" s="40"/>
      <c r="I45" s="23">
        <v>2000.0</v>
      </c>
      <c r="J45" s="23"/>
      <c r="K45" s="40"/>
      <c r="L45" s="40"/>
      <c r="M45" s="40"/>
      <c r="N45" s="40"/>
      <c r="O45" s="32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22" t="s">
        <v>59</v>
      </c>
      <c r="B46" s="27" t="s">
        <v>23</v>
      </c>
      <c r="C46" s="40"/>
      <c r="D46" s="40"/>
      <c r="E46" s="40"/>
      <c r="F46" s="40"/>
      <c r="G46" s="40"/>
      <c r="H46" s="40"/>
      <c r="I46" s="23">
        <v>500.0</v>
      </c>
      <c r="J46" s="23"/>
      <c r="K46" s="40"/>
      <c r="L46" s="40"/>
      <c r="M46" s="40"/>
      <c r="N46" s="40"/>
      <c r="O46" s="32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22" t="s">
        <v>60</v>
      </c>
      <c r="B47" s="27" t="s">
        <v>25</v>
      </c>
      <c r="C47" s="40"/>
      <c r="D47" s="40"/>
      <c r="E47" s="40"/>
      <c r="F47" s="40"/>
      <c r="G47" s="40"/>
      <c r="H47" s="40"/>
      <c r="I47" s="23">
        <v>300.0</v>
      </c>
      <c r="J47" s="23"/>
      <c r="K47" s="40"/>
      <c r="L47" s="40"/>
      <c r="M47" s="40"/>
      <c r="N47" s="40"/>
      <c r="O47" s="32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45"/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32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7.25" customHeight="1">
      <c r="A49" s="46" t="s">
        <v>61</v>
      </c>
      <c r="B49" s="18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20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2" t="s">
        <v>62</v>
      </c>
      <c r="B50" s="23" t="s">
        <v>63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32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22" t="s">
        <v>64</v>
      </c>
      <c r="B51" s="27" t="s">
        <v>19</v>
      </c>
      <c r="C51" s="40"/>
      <c r="D51" s="40"/>
      <c r="E51" s="40"/>
      <c r="F51" s="40"/>
      <c r="G51" s="40"/>
      <c r="H51" s="40"/>
      <c r="I51" s="40"/>
      <c r="J51" s="23">
        <v>1000.0</v>
      </c>
      <c r="K51" s="40"/>
      <c r="L51" s="40"/>
      <c r="M51" s="40"/>
      <c r="N51" s="40"/>
      <c r="O51" s="32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22" t="s">
        <v>65</v>
      </c>
      <c r="B52" s="27" t="s">
        <v>21</v>
      </c>
      <c r="C52" s="40"/>
      <c r="D52" s="40"/>
      <c r="E52" s="40"/>
      <c r="F52" s="40"/>
      <c r="G52" s="40"/>
      <c r="H52" s="40"/>
      <c r="I52" s="40"/>
      <c r="J52" s="23">
        <v>3000.0</v>
      </c>
      <c r="K52" s="40"/>
      <c r="L52" s="40"/>
      <c r="M52" s="40"/>
      <c r="N52" s="40"/>
      <c r="O52" s="32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22" t="s">
        <v>66</v>
      </c>
      <c r="B53" s="27" t="s">
        <v>23</v>
      </c>
      <c r="C53" s="40"/>
      <c r="D53" s="40"/>
      <c r="E53" s="40"/>
      <c r="F53" s="40"/>
      <c r="G53" s="40"/>
      <c r="H53" s="40"/>
      <c r="I53" s="40"/>
      <c r="J53" s="23">
        <v>1000.0</v>
      </c>
      <c r="K53" s="40"/>
      <c r="L53" s="40"/>
      <c r="M53" s="40"/>
      <c r="N53" s="40"/>
      <c r="O53" s="32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22" t="s">
        <v>67</v>
      </c>
      <c r="B54" s="27" t="s">
        <v>25</v>
      </c>
      <c r="C54" s="40"/>
      <c r="D54" s="40"/>
      <c r="E54" s="40"/>
      <c r="F54" s="40"/>
      <c r="G54" s="40"/>
      <c r="H54" s="40"/>
      <c r="I54" s="40"/>
      <c r="J54" s="23">
        <v>500.0</v>
      </c>
      <c r="K54" s="40"/>
      <c r="L54" s="40"/>
      <c r="M54" s="40"/>
      <c r="N54" s="40"/>
      <c r="O54" s="32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45"/>
      <c r="B55" s="39"/>
      <c r="C55" s="40"/>
      <c r="D55" s="40"/>
      <c r="E55" s="40"/>
      <c r="F55" s="40"/>
      <c r="G55" s="40"/>
      <c r="H55" s="40"/>
      <c r="I55" s="40"/>
      <c r="J55" s="40"/>
      <c r="K55" s="40"/>
      <c r="L55" s="48"/>
      <c r="M55" s="40"/>
      <c r="N55" s="40"/>
      <c r="O55" s="32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7.25" customHeight="1">
      <c r="A56" s="46" t="s">
        <v>68</v>
      </c>
      <c r="B56" s="18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20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34" t="s">
        <v>69</v>
      </c>
      <c r="B57" s="23" t="s">
        <v>70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32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4" t="s">
        <v>71</v>
      </c>
      <c r="B58" s="27" t="s">
        <v>19</v>
      </c>
      <c r="C58" s="40"/>
      <c r="D58" s="40"/>
      <c r="E58" s="40"/>
      <c r="F58" s="40"/>
      <c r="G58" s="40"/>
      <c r="H58" s="40"/>
      <c r="I58" s="40"/>
      <c r="J58" s="23">
        <v>6000.0</v>
      </c>
      <c r="K58" s="40"/>
      <c r="L58" s="40"/>
      <c r="M58" s="40"/>
      <c r="N58" s="40"/>
      <c r="O58" s="32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4" t="s">
        <v>72</v>
      </c>
      <c r="B59" s="27" t="s">
        <v>21</v>
      </c>
      <c r="C59" s="40"/>
      <c r="D59" s="40"/>
      <c r="E59" s="40"/>
      <c r="F59" s="40"/>
      <c r="G59" s="40"/>
      <c r="H59" s="40"/>
      <c r="I59" s="40"/>
      <c r="J59" s="23">
        <v>1000.0</v>
      </c>
      <c r="K59" s="40"/>
      <c r="L59" s="40"/>
      <c r="M59" s="40"/>
      <c r="N59" s="40"/>
      <c r="O59" s="32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4" t="s">
        <v>73</v>
      </c>
      <c r="B60" s="27" t="s">
        <v>23</v>
      </c>
      <c r="C60" s="40"/>
      <c r="D60" s="40"/>
      <c r="E60" s="40"/>
      <c r="F60" s="40"/>
      <c r="G60" s="40"/>
      <c r="H60" s="40"/>
      <c r="I60" s="40"/>
      <c r="J60" s="23">
        <v>4000.0</v>
      </c>
      <c r="K60" s="40"/>
      <c r="L60" s="40"/>
      <c r="M60" s="40"/>
      <c r="N60" s="40"/>
      <c r="O60" s="32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4" t="s">
        <v>74</v>
      </c>
      <c r="B61" s="27" t="s">
        <v>25</v>
      </c>
      <c r="C61" s="40"/>
      <c r="D61" s="40"/>
      <c r="E61" s="40"/>
      <c r="F61" s="40"/>
      <c r="G61" s="40"/>
      <c r="H61" s="40"/>
      <c r="I61" s="40"/>
      <c r="J61" s="23">
        <v>500.0</v>
      </c>
      <c r="K61" s="40"/>
      <c r="L61" s="40"/>
      <c r="M61" s="40"/>
      <c r="N61" s="40"/>
      <c r="O61" s="32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45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8"/>
      <c r="M62" s="40"/>
      <c r="N62" s="40"/>
      <c r="O62" s="32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7.25" customHeight="1">
      <c r="A63" s="46" t="s">
        <v>75</v>
      </c>
      <c r="B63" s="18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20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34" t="s">
        <v>76</v>
      </c>
      <c r="B64" s="23" t="s">
        <v>77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32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4" t="s">
        <v>78</v>
      </c>
      <c r="B65" s="27" t="s">
        <v>19</v>
      </c>
      <c r="C65" s="40"/>
      <c r="D65" s="40"/>
      <c r="E65" s="40"/>
      <c r="F65" s="40"/>
      <c r="G65" s="40"/>
      <c r="H65" s="40"/>
      <c r="I65" s="40"/>
      <c r="J65" s="23">
        <v>12000.0</v>
      </c>
      <c r="K65" s="40"/>
      <c r="L65" s="40"/>
      <c r="M65" s="40"/>
      <c r="N65" s="40"/>
      <c r="O65" s="3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4" t="s">
        <v>79</v>
      </c>
      <c r="B66" s="27" t="s">
        <v>21</v>
      </c>
      <c r="C66" s="40"/>
      <c r="D66" s="40"/>
      <c r="E66" s="40"/>
      <c r="F66" s="40"/>
      <c r="G66" s="40"/>
      <c r="H66" s="40"/>
      <c r="I66" s="40"/>
      <c r="J66" s="23">
        <v>4000.0</v>
      </c>
      <c r="K66" s="40"/>
      <c r="L66" s="40"/>
      <c r="M66" s="40"/>
      <c r="N66" s="40"/>
      <c r="O66" s="32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4" t="s">
        <v>80</v>
      </c>
      <c r="B67" s="27" t="s">
        <v>23</v>
      </c>
      <c r="C67" s="40"/>
      <c r="D67" s="40"/>
      <c r="E67" s="40"/>
      <c r="F67" s="40"/>
      <c r="G67" s="40"/>
      <c r="H67" s="40"/>
      <c r="I67" s="40"/>
      <c r="J67" s="23">
        <v>2000.0</v>
      </c>
      <c r="K67" s="40"/>
      <c r="L67" s="40"/>
      <c r="M67" s="40"/>
      <c r="N67" s="40"/>
      <c r="O67" s="32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4" t="s">
        <v>81</v>
      </c>
      <c r="B68" s="27" t="s">
        <v>25</v>
      </c>
      <c r="C68" s="40"/>
      <c r="D68" s="40"/>
      <c r="E68" s="40"/>
      <c r="F68" s="40"/>
      <c r="G68" s="40"/>
      <c r="H68" s="40"/>
      <c r="I68" s="40"/>
      <c r="J68" s="40"/>
      <c r="K68" s="23">
        <v>1500.0</v>
      </c>
      <c r="L68" s="40"/>
      <c r="M68" s="40"/>
      <c r="N68" s="40"/>
      <c r="O68" s="32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45"/>
      <c r="B69" s="39"/>
      <c r="C69" s="40"/>
      <c r="D69" s="40"/>
      <c r="E69" s="40"/>
      <c r="F69" s="40"/>
      <c r="G69" s="40"/>
      <c r="H69" s="40"/>
      <c r="I69" s="40"/>
      <c r="J69" s="40"/>
      <c r="K69" s="40"/>
      <c r="L69" s="48"/>
      <c r="M69" s="40"/>
      <c r="N69" s="40"/>
      <c r="O69" s="32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7.25" customHeight="1">
      <c r="A70" s="46" t="s">
        <v>82</v>
      </c>
      <c r="B70" s="18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20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34" t="s">
        <v>83</v>
      </c>
      <c r="B71" s="23" t="s">
        <v>84</v>
      </c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32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4" t="s">
        <v>85</v>
      </c>
      <c r="B72" s="27" t="s">
        <v>19</v>
      </c>
      <c r="C72" s="40"/>
      <c r="D72" s="40"/>
      <c r="E72" s="40"/>
      <c r="F72" s="40"/>
      <c r="G72" s="40"/>
      <c r="H72" s="40"/>
      <c r="I72" s="40"/>
      <c r="J72" s="23">
        <v>8000.0</v>
      </c>
      <c r="K72" s="40"/>
      <c r="L72" s="40"/>
      <c r="M72" s="40"/>
      <c r="N72" s="40"/>
      <c r="O72" s="32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4" t="s">
        <v>86</v>
      </c>
      <c r="B73" s="27" t="s">
        <v>21</v>
      </c>
      <c r="C73" s="40"/>
      <c r="D73" s="40"/>
      <c r="E73" s="40"/>
      <c r="F73" s="40"/>
      <c r="G73" s="40"/>
      <c r="H73" s="40"/>
      <c r="I73" s="40"/>
      <c r="J73" s="23">
        <v>1000.0</v>
      </c>
      <c r="K73" s="40"/>
      <c r="L73" s="40"/>
      <c r="M73" s="40"/>
      <c r="N73" s="40"/>
      <c r="O73" s="32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4" t="s">
        <v>87</v>
      </c>
      <c r="B74" s="27" t="s">
        <v>23</v>
      </c>
      <c r="C74" s="40"/>
      <c r="D74" s="40"/>
      <c r="E74" s="40"/>
      <c r="F74" s="40"/>
      <c r="G74" s="40"/>
      <c r="H74" s="40"/>
      <c r="I74" s="40"/>
      <c r="J74" s="40"/>
      <c r="K74" s="23">
        <v>500.0</v>
      </c>
      <c r="L74" s="40"/>
      <c r="M74" s="40"/>
      <c r="N74" s="40"/>
      <c r="O74" s="32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4" t="s">
        <v>88</v>
      </c>
      <c r="B75" s="27" t="s">
        <v>25</v>
      </c>
      <c r="C75" s="40"/>
      <c r="D75" s="40"/>
      <c r="E75" s="40"/>
      <c r="F75" s="40"/>
      <c r="G75" s="40"/>
      <c r="H75" s="40"/>
      <c r="I75" s="40"/>
      <c r="J75" s="40"/>
      <c r="K75" s="23">
        <v>300.0</v>
      </c>
      <c r="L75" s="40"/>
      <c r="M75" s="40"/>
      <c r="N75" s="40"/>
      <c r="O75" s="3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45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8"/>
      <c r="M76" s="40"/>
      <c r="N76" s="40"/>
      <c r="O76" s="32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7.25" customHeight="1">
      <c r="A77" s="46" t="s">
        <v>89</v>
      </c>
      <c r="B77" s="18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20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34" t="s">
        <v>90</v>
      </c>
      <c r="B78" s="23" t="s">
        <v>91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3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4" t="s">
        <v>92</v>
      </c>
      <c r="B79" s="27" t="s">
        <v>19</v>
      </c>
      <c r="C79" s="40"/>
      <c r="D79" s="40"/>
      <c r="E79" s="40"/>
      <c r="F79" s="40"/>
      <c r="G79" s="40"/>
      <c r="H79" s="40"/>
      <c r="I79" s="40"/>
      <c r="J79" s="23"/>
      <c r="K79" s="23">
        <v>10000.0</v>
      </c>
      <c r="L79" s="40"/>
      <c r="M79" s="40"/>
      <c r="N79" s="40"/>
      <c r="O79" s="3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4" t="s">
        <v>93</v>
      </c>
      <c r="B80" s="27" t="s">
        <v>21</v>
      </c>
      <c r="C80" s="40"/>
      <c r="D80" s="40"/>
      <c r="E80" s="40"/>
      <c r="F80" s="40"/>
      <c r="G80" s="40"/>
      <c r="H80" s="40"/>
      <c r="I80" s="40"/>
      <c r="J80" s="23"/>
      <c r="K80" s="23">
        <v>5000.0</v>
      </c>
      <c r="L80" s="40"/>
      <c r="M80" s="40"/>
      <c r="N80" s="40"/>
      <c r="O80" s="3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4" t="s">
        <v>94</v>
      </c>
      <c r="B81" s="27" t="s">
        <v>23</v>
      </c>
      <c r="C81" s="40"/>
      <c r="D81" s="40"/>
      <c r="E81" s="40"/>
      <c r="F81" s="40"/>
      <c r="G81" s="40"/>
      <c r="H81" s="40"/>
      <c r="I81" s="40"/>
      <c r="J81" s="40"/>
      <c r="K81" s="23">
        <v>1000.0</v>
      </c>
      <c r="L81" s="40"/>
      <c r="M81" s="40"/>
      <c r="N81" s="40"/>
      <c r="O81" s="3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4" t="s">
        <v>95</v>
      </c>
      <c r="B82" s="27" t="s">
        <v>25</v>
      </c>
      <c r="C82" s="40"/>
      <c r="D82" s="40"/>
      <c r="E82" s="40"/>
      <c r="F82" s="40"/>
      <c r="G82" s="40"/>
      <c r="H82" s="40"/>
      <c r="I82" s="40"/>
      <c r="J82" s="40"/>
      <c r="K82" s="23">
        <v>1000.0</v>
      </c>
      <c r="L82" s="40"/>
      <c r="M82" s="40"/>
      <c r="N82" s="40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45"/>
      <c r="B83" s="39"/>
      <c r="C83" s="40"/>
      <c r="D83" s="40"/>
      <c r="E83" s="40"/>
      <c r="F83" s="40"/>
      <c r="G83" s="40"/>
      <c r="H83" s="40"/>
      <c r="I83" s="40"/>
      <c r="J83" s="40"/>
      <c r="K83" s="40"/>
      <c r="L83" s="48"/>
      <c r="M83" s="40"/>
      <c r="N83" s="40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7.25" customHeight="1">
      <c r="A84" s="46" t="s">
        <v>96</v>
      </c>
      <c r="B84" s="18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20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34" t="s">
        <v>97</v>
      </c>
      <c r="B85" s="23" t="s">
        <v>98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32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4" t="s">
        <v>99</v>
      </c>
      <c r="B86" s="27" t="s">
        <v>19</v>
      </c>
      <c r="C86" s="40"/>
      <c r="D86" s="40"/>
      <c r="E86" s="40"/>
      <c r="F86" s="40"/>
      <c r="G86" s="40"/>
      <c r="H86" s="40"/>
      <c r="I86" s="40"/>
      <c r="J86" s="23"/>
      <c r="K86" s="23">
        <v>8000.0</v>
      </c>
      <c r="L86" s="40"/>
      <c r="M86" s="40"/>
      <c r="N86" s="40"/>
      <c r="O86" s="32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4" t="s">
        <v>100</v>
      </c>
      <c r="B87" s="27" t="s">
        <v>21</v>
      </c>
      <c r="C87" s="40"/>
      <c r="D87" s="40"/>
      <c r="E87" s="40"/>
      <c r="F87" s="40"/>
      <c r="G87" s="40"/>
      <c r="H87" s="40"/>
      <c r="I87" s="40"/>
      <c r="J87" s="23"/>
      <c r="K87" s="23">
        <v>2000.0</v>
      </c>
      <c r="L87" s="40"/>
      <c r="M87" s="40"/>
      <c r="N87" s="40"/>
      <c r="O87" s="3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4" t="s">
        <v>101</v>
      </c>
      <c r="B88" s="27" t="s">
        <v>23</v>
      </c>
      <c r="C88" s="40"/>
      <c r="D88" s="40"/>
      <c r="E88" s="40"/>
      <c r="F88" s="40"/>
      <c r="G88" s="40"/>
      <c r="H88" s="40"/>
      <c r="I88" s="40"/>
      <c r="J88" s="40"/>
      <c r="K88" s="23">
        <v>1000.0</v>
      </c>
      <c r="L88" s="40"/>
      <c r="M88" s="40"/>
      <c r="N88" s="40"/>
      <c r="O88" s="3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4" t="s">
        <v>102</v>
      </c>
      <c r="B89" s="27" t="s">
        <v>25</v>
      </c>
      <c r="C89" s="40"/>
      <c r="D89" s="40"/>
      <c r="E89" s="40"/>
      <c r="F89" s="40"/>
      <c r="G89" s="40"/>
      <c r="H89" s="40"/>
      <c r="I89" s="40"/>
      <c r="J89" s="40"/>
      <c r="K89" s="23">
        <v>500.0</v>
      </c>
      <c r="L89" s="40"/>
      <c r="M89" s="40"/>
      <c r="N89" s="40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45"/>
      <c r="B90" s="39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45"/>
      <c r="B91" s="49" t="s">
        <v>103</v>
      </c>
      <c r="C91" s="50">
        <f t="shared" ref="C91:N91" si="1">SUM(C8:C90)</f>
        <v>0</v>
      </c>
      <c r="D91" s="50">
        <f t="shared" si="1"/>
        <v>0</v>
      </c>
      <c r="E91" s="50">
        <f t="shared" si="1"/>
        <v>0</v>
      </c>
      <c r="F91" s="50">
        <f t="shared" si="1"/>
        <v>30500</v>
      </c>
      <c r="G91" s="50">
        <f t="shared" si="1"/>
        <v>38300</v>
      </c>
      <c r="H91" s="50">
        <f t="shared" si="1"/>
        <v>3000</v>
      </c>
      <c r="I91" s="50">
        <f t="shared" si="1"/>
        <v>31800</v>
      </c>
      <c r="J91" s="50">
        <f t="shared" si="1"/>
        <v>46500</v>
      </c>
      <c r="K91" s="50">
        <f t="shared" si="1"/>
        <v>30800</v>
      </c>
      <c r="L91" s="50">
        <f t="shared" si="1"/>
        <v>0</v>
      </c>
      <c r="M91" s="50">
        <f t="shared" si="1"/>
        <v>0</v>
      </c>
      <c r="N91" s="50">
        <f t="shared" si="1"/>
        <v>0</v>
      </c>
      <c r="O91" s="32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5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5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5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5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5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5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5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5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5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5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5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5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5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5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5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5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5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5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5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5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5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5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5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5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5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5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5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5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5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5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5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5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5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5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5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5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5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5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5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5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5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5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5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5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5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5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5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5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5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5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5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5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5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5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5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5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5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5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5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5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5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5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5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5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5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5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5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5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5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5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5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5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5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5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5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5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5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5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5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5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5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5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5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5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5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5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5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5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5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5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5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5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5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5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5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5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5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5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5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5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5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5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5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5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5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5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5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5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5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5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5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5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5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5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5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5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5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5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5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5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5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5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5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5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5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5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5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5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5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5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5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5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5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5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5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5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5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5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5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5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5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5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5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5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5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5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5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5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5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5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5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5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5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5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5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5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5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5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5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5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5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5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5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5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5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5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5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5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5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5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5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5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5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5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5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5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5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5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5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5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5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5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5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5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5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5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5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5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5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5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5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5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5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5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5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5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5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5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5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5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5">
    <mergeCell ref="A35:B35"/>
    <mergeCell ref="A42:B42"/>
    <mergeCell ref="A49:B49"/>
    <mergeCell ref="A56:B56"/>
    <mergeCell ref="A63:B63"/>
    <mergeCell ref="A70:B70"/>
    <mergeCell ref="A77:B77"/>
    <mergeCell ref="A84:B84"/>
    <mergeCell ref="A1:N3"/>
    <mergeCell ref="A4:D4"/>
    <mergeCell ref="A6:B6"/>
    <mergeCell ref="A7:B7"/>
    <mergeCell ref="A14:B14"/>
    <mergeCell ref="A21:B21"/>
    <mergeCell ref="A28:B28"/>
  </mergeCells>
  <printOptions/>
  <pageMargins bottom="0.75" footer="0.0" header="0.0" left="0.7" right="0.7" top="0.75"/>
  <pageSetup orientation="portrait"/>
  <headerFooter>
    <oddFooter>&amp;L_x000D_#000000 ***Este documento está clasificado como PUBLICO por TELEFÓNICA. ***This document is classified as PUBLIC by TELEFÓNICA.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86"/>
    <col customWidth="1" min="2" max="2" width="46.57"/>
    <col customWidth="1" min="3" max="3" width="10.71"/>
    <col customWidth="1" min="4" max="4" width="19.29"/>
    <col customWidth="1" min="5" max="5" width="16.29"/>
    <col customWidth="1" min="6" max="7" width="16.43"/>
    <col customWidth="1" min="8" max="8" width="11.57"/>
    <col customWidth="1" min="9" max="9" width="13.71"/>
    <col customWidth="1" min="10" max="10" width="10.43"/>
    <col customWidth="1" min="11" max="11" width="11.29"/>
    <col customWidth="1" min="12" max="14" width="10.43"/>
    <col customWidth="1" min="15" max="26" width="11.43"/>
  </cols>
  <sheetData>
    <row r="1">
      <c r="A1" s="54" t="s">
        <v>104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/>
      <c r="N2" s="59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8.75" customHeight="1">
      <c r="A4" s="63"/>
      <c r="B4" s="11"/>
      <c r="C4" s="11"/>
      <c r="D4" s="12"/>
      <c r="E4" s="64"/>
      <c r="F4" s="64"/>
      <c r="G4" s="64"/>
      <c r="H4" s="64"/>
      <c r="I4" s="64"/>
      <c r="J4" s="64"/>
      <c r="K4" s="64"/>
      <c r="L4" s="64"/>
      <c r="M4" s="64"/>
      <c r="N4" s="64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6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7" t="s">
        <v>2</v>
      </c>
      <c r="B6" s="18"/>
      <c r="C6" s="68" t="s">
        <v>3</v>
      </c>
      <c r="D6" s="68" t="s">
        <v>4</v>
      </c>
      <c r="E6" s="68" t="s">
        <v>5</v>
      </c>
      <c r="F6" s="68" t="s">
        <v>6</v>
      </c>
      <c r="G6" s="68" t="s">
        <v>7</v>
      </c>
      <c r="H6" s="68" t="s">
        <v>8</v>
      </c>
      <c r="I6" s="68" t="s">
        <v>9</v>
      </c>
      <c r="J6" s="68" t="s">
        <v>10</v>
      </c>
      <c r="K6" s="68" t="s">
        <v>11</v>
      </c>
      <c r="L6" s="68" t="s">
        <v>12</v>
      </c>
      <c r="M6" s="68" t="s">
        <v>13</v>
      </c>
      <c r="N6" s="68" t="s">
        <v>14</v>
      </c>
      <c r="O6" s="69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70"/>
      <c r="B7" s="68" t="s">
        <v>105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69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71" t="s">
        <v>16</v>
      </c>
      <c r="B8" s="72" t="s">
        <v>17</v>
      </c>
      <c r="C8" s="73"/>
      <c r="D8" s="73"/>
      <c r="E8" s="73"/>
      <c r="F8" s="73"/>
      <c r="G8" s="73"/>
      <c r="H8" s="24"/>
      <c r="I8" s="24"/>
      <c r="J8" s="29"/>
      <c r="K8" s="29"/>
      <c r="L8" s="29"/>
      <c r="M8" s="29"/>
      <c r="N8" s="29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1" t="s">
        <v>18</v>
      </c>
      <c r="B9" s="76" t="s">
        <v>19</v>
      </c>
      <c r="C9" s="73"/>
      <c r="D9" s="73"/>
      <c r="E9" s="73"/>
      <c r="F9" s="77">
        <v>12000.0</v>
      </c>
      <c r="G9" s="73"/>
      <c r="H9" s="31"/>
      <c r="I9" s="31"/>
      <c r="J9" s="29"/>
      <c r="K9" s="29"/>
      <c r="L9" s="29"/>
      <c r="M9" s="29"/>
      <c r="N9" s="29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1" t="s">
        <v>20</v>
      </c>
      <c r="B10" s="76" t="s">
        <v>21</v>
      </c>
      <c r="C10" s="73"/>
      <c r="D10" s="73"/>
      <c r="E10" s="73"/>
      <c r="F10" s="73"/>
      <c r="G10" s="77">
        <v>3000.0</v>
      </c>
      <c r="H10" s="29"/>
      <c r="I10" s="29"/>
      <c r="J10" s="29"/>
      <c r="K10" s="29"/>
      <c r="L10" s="29"/>
      <c r="M10" s="29"/>
      <c r="N10" s="29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1" t="s">
        <v>22</v>
      </c>
      <c r="B11" s="76" t="s">
        <v>23</v>
      </c>
      <c r="C11" s="73"/>
      <c r="D11" s="73"/>
      <c r="E11" s="73"/>
      <c r="F11" s="73"/>
      <c r="G11" s="77">
        <v>2000.0</v>
      </c>
      <c r="H11" s="29"/>
      <c r="I11" s="29"/>
      <c r="J11" s="29"/>
      <c r="K11" s="29"/>
      <c r="L11" s="29"/>
      <c r="M11" s="29"/>
      <c r="N11" s="29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8" t="s">
        <v>24</v>
      </c>
      <c r="B12" s="76" t="s">
        <v>25</v>
      </c>
      <c r="C12" s="73"/>
      <c r="D12" s="73"/>
      <c r="E12" s="73"/>
      <c r="F12" s="73"/>
      <c r="G12" s="77">
        <v>750.0</v>
      </c>
      <c r="H12" s="29"/>
      <c r="I12" s="29"/>
      <c r="J12" s="29"/>
      <c r="K12" s="29"/>
      <c r="L12" s="29"/>
      <c r="M12" s="29"/>
      <c r="N12" s="29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22"/>
      <c r="B13" s="37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0"/>
      <c r="B14" s="68" t="s">
        <v>106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69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22" t="s">
        <v>27</v>
      </c>
      <c r="B15" s="23" t="s">
        <v>28</v>
      </c>
      <c r="C15" s="28"/>
      <c r="D15" s="38"/>
      <c r="E15" s="28"/>
      <c r="F15" s="31"/>
      <c r="G15" s="31"/>
      <c r="H15" s="29"/>
      <c r="I15" s="29"/>
      <c r="J15" s="29"/>
      <c r="K15" s="29"/>
      <c r="L15" s="29"/>
      <c r="M15" s="29"/>
      <c r="N15" s="29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22" t="s">
        <v>29</v>
      </c>
      <c r="B16" s="27" t="s">
        <v>19</v>
      </c>
      <c r="C16" s="28"/>
      <c r="D16" s="38"/>
      <c r="E16" s="28"/>
      <c r="F16" s="30">
        <v>18000.0</v>
      </c>
      <c r="G16" s="31"/>
      <c r="H16" s="29"/>
      <c r="I16" s="29"/>
      <c r="J16" s="29"/>
      <c r="K16" s="29"/>
      <c r="L16" s="29"/>
      <c r="M16" s="29"/>
      <c r="N16" s="29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22" t="s">
        <v>30</v>
      </c>
      <c r="B17" s="27" t="s">
        <v>21</v>
      </c>
      <c r="C17" s="28"/>
      <c r="D17" s="28"/>
      <c r="E17" s="28"/>
      <c r="F17" s="30">
        <v>7500.0</v>
      </c>
      <c r="G17" s="31"/>
      <c r="H17" s="29"/>
      <c r="I17" s="29"/>
      <c r="J17" s="29"/>
      <c r="K17" s="29"/>
      <c r="L17" s="29"/>
      <c r="M17" s="29"/>
      <c r="N17" s="29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22" t="s">
        <v>31</v>
      </c>
      <c r="B18" s="27" t="s">
        <v>23</v>
      </c>
      <c r="C18" s="28"/>
      <c r="D18" s="28"/>
      <c r="E18" s="28"/>
      <c r="F18" s="30">
        <v>3000.0</v>
      </c>
      <c r="G18" s="31"/>
      <c r="H18" s="29"/>
      <c r="I18" s="29"/>
      <c r="J18" s="29"/>
      <c r="K18" s="29"/>
      <c r="L18" s="29"/>
      <c r="M18" s="29"/>
      <c r="N18" s="29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22" t="s">
        <v>32</v>
      </c>
      <c r="B19" s="27" t="s">
        <v>25</v>
      </c>
      <c r="C19" s="28"/>
      <c r="D19" s="38"/>
      <c r="E19" s="28"/>
      <c r="F19" s="31"/>
      <c r="G19" s="30">
        <v>750.0</v>
      </c>
      <c r="H19" s="29"/>
      <c r="I19" s="29"/>
      <c r="J19" s="29"/>
      <c r="K19" s="29"/>
      <c r="L19" s="29"/>
      <c r="M19" s="29"/>
      <c r="N19" s="29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22"/>
      <c r="B20" s="37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0"/>
      <c r="B21" s="68" t="s">
        <v>107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69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8.0" customHeight="1">
      <c r="A22" s="22" t="s">
        <v>34</v>
      </c>
      <c r="B22" s="23" t="s">
        <v>35</v>
      </c>
      <c r="C22" s="28"/>
      <c r="D22" s="38"/>
      <c r="E22" s="28"/>
      <c r="F22" s="38"/>
      <c r="G22" s="31"/>
      <c r="H22" s="29"/>
      <c r="I22" s="29"/>
      <c r="J22" s="29"/>
      <c r="K22" s="29"/>
      <c r="L22" s="29"/>
      <c r="M22" s="29"/>
      <c r="N22" s="29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22" t="s">
        <v>36</v>
      </c>
      <c r="B23" s="27" t="s">
        <v>19</v>
      </c>
      <c r="C23" s="28"/>
      <c r="D23" s="38"/>
      <c r="E23" s="28"/>
      <c r="F23" s="38"/>
      <c r="G23" s="79">
        <v>12000.0</v>
      </c>
      <c r="H23" s="29"/>
      <c r="I23" s="29"/>
      <c r="J23" s="29"/>
      <c r="K23" s="29"/>
      <c r="L23" s="29"/>
      <c r="M23" s="29"/>
      <c r="N23" s="29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22" t="s">
        <v>37</v>
      </c>
      <c r="B24" s="27" t="s">
        <v>21</v>
      </c>
      <c r="C24" s="28"/>
      <c r="D24" s="38"/>
      <c r="E24" s="28"/>
      <c r="F24" s="38"/>
      <c r="G24" s="79">
        <v>2000.0</v>
      </c>
      <c r="H24" s="29"/>
      <c r="I24" s="29"/>
      <c r="J24" s="29"/>
      <c r="K24" s="29"/>
      <c r="L24" s="29"/>
      <c r="M24" s="29"/>
      <c r="N24" s="29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22" t="s">
        <v>38</v>
      </c>
      <c r="B25" s="27" t="s">
        <v>23</v>
      </c>
      <c r="C25" s="28"/>
      <c r="D25" s="38"/>
      <c r="E25" s="28"/>
      <c r="F25" s="38"/>
      <c r="G25" s="79">
        <v>750.0</v>
      </c>
      <c r="H25" s="29"/>
      <c r="I25" s="29"/>
      <c r="J25" s="29"/>
      <c r="K25" s="29"/>
      <c r="L25" s="29"/>
      <c r="M25" s="29"/>
      <c r="N25" s="29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22" t="s">
        <v>39</v>
      </c>
      <c r="B26" s="27" t="s">
        <v>25</v>
      </c>
      <c r="C26" s="28"/>
      <c r="D26" s="38"/>
      <c r="E26" s="28"/>
      <c r="F26" s="38"/>
      <c r="G26" s="79">
        <v>450.0</v>
      </c>
      <c r="H26" s="29"/>
      <c r="I26" s="29"/>
      <c r="J26" s="29"/>
      <c r="K26" s="29"/>
      <c r="L26" s="29"/>
      <c r="M26" s="29"/>
      <c r="N26" s="29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29"/>
      <c r="B27" s="8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70"/>
      <c r="B28" s="68" t="s">
        <v>108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69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22" t="s">
        <v>41</v>
      </c>
      <c r="B29" s="23" t="s">
        <v>42</v>
      </c>
      <c r="C29" s="28"/>
      <c r="D29" s="29"/>
      <c r="E29" s="28"/>
      <c r="F29" s="31"/>
      <c r="G29" s="31"/>
      <c r="H29" s="31"/>
      <c r="I29" s="29"/>
      <c r="J29" s="29"/>
      <c r="K29" s="29"/>
      <c r="L29" s="29"/>
      <c r="M29" s="29"/>
      <c r="N29" s="29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22" t="s">
        <v>43</v>
      </c>
      <c r="B30" s="27" t="s">
        <v>19</v>
      </c>
      <c r="C30" s="40"/>
      <c r="D30" s="40"/>
      <c r="E30" s="40"/>
      <c r="F30" s="40"/>
      <c r="G30" s="83">
        <v>30000.0</v>
      </c>
      <c r="H30" s="40"/>
      <c r="I30" s="29"/>
      <c r="J30" s="29"/>
      <c r="K30" s="29"/>
      <c r="L30" s="29"/>
      <c r="M30" s="29"/>
      <c r="N30" s="29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22" t="s">
        <v>44</v>
      </c>
      <c r="B31" s="27" t="s">
        <v>21</v>
      </c>
      <c r="C31" s="40"/>
      <c r="D31" s="40"/>
      <c r="E31" s="40"/>
      <c r="F31" s="40"/>
      <c r="G31" s="83">
        <v>12000.0</v>
      </c>
      <c r="H31" s="40"/>
      <c r="I31" s="29"/>
      <c r="J31" s="29"/>
      <c r="K31" s="29"/>
      <c r="L31" s="29"/>
      <c r="M31" s="29"/>
      <c r="N31" s="29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22" t="s">
        <v>45</v>
      </c>
      <c r="B32" s="27" t="s">
        <v>23</v>
      </c>
      <c r="C32" s="40"/>
      <c r="D32" s="40"/>
      <c r="E32" s="40"/>
      <c r="F32" s="40"/>
      <c r="G32" s="40"/>
      <c r="H32" s="83">
        <v>2000.0</v>
      </c>
      <c r="I32" s="29"/>
      <c r="J32" s="29"/>
      <c r="K32" s="29"/>
      <c r="L32" s="29"/>
      <c r="M32" s="29"/>
      <c r="N32" s="29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22" t="s">
        <v>46</v>
      </c>
      <c r="B33" s="27" t="s">
        <v>25</v>
      </c>
      <c r="C33" s="40"/>
      <c r="D33" s="40"/>
      <c r="E33" s="40"/>
      <c r="F33" s="40"/>
      <c r="G33" s="40"/>
      <c r="H33" s="83">
        <v>3000.0</v>
      </c>
      <c r="I33" s="29"/>
      <c r="J33" s="29"/>
      <c r="K33" s="29"/>
      <c r="L33" s="29"/>
      <c r="M33" s="29"/>
      <c r="N33" s="29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22"/>
      <c r="B34" s="3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70"/>
      <c r="B35" s="68" t="s">
        <v>109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69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22" t="s">
        <v>48</v>
      </c>
      <c r="B36" s="23" t="s">
        <v>49</v>
      </c>
      <c r="C36" s="40"/>
      <c r="D36" s="40"/>
      <c r="E36" s="40"/>
      <c r="F36" s="40"/>
      <c r="G36" s="40"/>
      <c r="H36" s="40"/>
      <c r="I36" s="40"/>
      <c r="J36" s="40"/>
      <c r="K36" s="29"/>
      <c r="L36" s="29"/>
      <c r="M36" s="29"/>
      <c r="N36" s="29"/>
      <c r="O36" s="74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22" t="s">
        <v>50</v>
      </c>
      <c r="B37" s="27" t="s">
        <v>19</v>
      </c>
      <c r="C37" s="40"/>
      <c r="D37" s="40"/>
      <c r="E37" s="40"/>
      <c r="F37" s="40"/>
      <c r="G37" s="40"/>
      <c r="H37" s="40"/>
      <c r="I37" s="83">
        <v>22500.0</v>
      </c>
      <c r="J37" s="40"/>
      <c r="K37" s="29"/>
      <c r="L37" s="29"/>
      <c r="M37" s="29"/>
      <c r="N37" s="29"/>
      <c r="O37" s="74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22" t="s">
        <v>51</v>
      </c>
      <c r="B38" s="27" t="s">
        <v>21</v>
      </c>
      <c r="C38" s="40"/>
      <c r="D38" s="40"/>
      <c r="E38" s="40"/>
      <c r="F38" s="40"/>
      <c r="G38" s="40"/>
      <c r="H38" s="40"/>
      <c r="I38" s="83">
        <v>9000.0</v>
      </c>
      <c r="J38" s="40"/>
      <c r="K38" s="29"/>
      <c r="L38" s="29"/>
      <c r="M38" s="29"/>
      <c r="N38" s="29"/>
      <c r="O38" s="74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22" t="s">
        <v>52</v>
      </c>
      <c r="B39" s="27" t="s">
        <v>23</v>
      </c>
      <c r="C39" s="40"/>
      <c r="D39" s="40"/>
      <c r="E39" s="40"/>
      <c r="F39" s="40"/>
      <c r="G39" s="40"/>
      <c r="H39" s="40"/>
      <c r="I39" s="40"/>
      <c r="J39" s="83">
        <v>2250.0</v>
      </c>
      <c r="K39" s="29"/>
      <c r="L39" s="29"/>
      <c r="M39" s="29"/>
      <c r="N39" s="29"/>
      <c r="O39" s="74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22" t="s">
        <v>53</v>
      </c>
      <c r="B40" s="27" t="s">
        <v>25</v>
      </c>
      <c r="C40" s="40"/>
      <c r="D40" s="40"/>
      <c r="E40" s="40"/>
      <c r="F40" s="40"/>
      <c r="G40" s="40"/>
      <c r="H40" s="40"/>
      <c r="I40" s="40"/>
      <c r="J40" s="83">
        <v>3000.0</v>
      </c>
      <c r="K40" s="29"/>
      <c r="L40" s="29"/>
      <c r="M40" s="29"/>
      <c r="N40" s="29"/>
      <c r="O40" s="74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22"/>
      <c r="B41" s="37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74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70"/>
      <c r="B42" s="84" t="s">
        <v>110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69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22" t="s">
        <v>55</v>
      </c>
      <c r="B43" s="23" t="s">
        <v>56</v>
      </c>
      <c r="C43" s="40"/>
      <c r="D43" s="40"/>
      <c r="E43" s="40"/>
      <c r="F43" s="40"/>
      <c r="G43" s="40"/>
      <c r="H43" s="40"/>
      <c r="I43" s="40"/>
      <c r="J43" s="29"/>
      <c r="K43" s="29"/>
      <c r="L43" s="29"/>
      <c r="M43" s="29"/>
      <c r="N43" s="29"/>
      <c r="O43" s="74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22" t="s">
        <v>57</v>
      </c>
      <c r="B44" s="27" t="s">
        <v>19</v>
      </c>
      <c r="C44" s="40"/>
      <c r="D44" s="40"/>
      <c r="E44" s="40"/>
      <c r="F44" s="40"/>
      <c r="G44" s="40"/>
      <c r="H44" s="40"/>
      <c r="I44" s="83">
        <v>12000.0</v>
      </c>
      <c r="J44" s="29"/>
      <c r="K44" s="29"/>
      <c r="L44" s="29"/>
      <c r="M44" s="29"/>
      <c r="N44" s="29"/>
      <c r="O44" s="74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22" t="s">
        <v>58</v>
      </c>
      <c r="B45" s="27" t="s">
        <v>21</v>
      </c>
      <c r="C45" s="40"/>
      <c r="D45" s="40"/>
      <c r="E45" s="40"/>
      <c r="F45" s="40"/>
      <c r="G45" s="40"/>
      <c r="H45" s="40"/>
      <c r="I45" s="83">
        <v>3000.0</v>
      </c>
      <c r="J45" s="29"/>
      <c r="K45" s="29"/>
      <c r="L45" s="29"/>
      <c r="M45" s="29"/>
      <c r="N45" s="29"/>
      <c r="O45" s="74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22" t="s">
        <v>59</v>
      </c>
      <c r="B46" s="27" t="s">
        <v>23</v>
      </c>
      <c r="C46" s="40"/>
      <c r="D46" s="40"/>
      <c r="E46" s="40"/>
      <c r="F46" s="40"/>
      <c r="G46" s="40"/>
      <c r="H46" s="40"/>
      <c r="I46" s="23">
        <v>750.0</v>
      </c>
      <c r="J46" s="29"/>
      <c r="K46" s="29"/>
      <c r="L46" s="29"/>
      <c r="M46" s="29"/>
      <c r="N46" s="29"/>
      <c r="O46" s="74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22" t="s">
        <v>60</v>
      </c>
      <c r="B47" s="27" t="s">
        <v>25</v>
      </c>
      <c r="C47" s="40"/>
      <c r="D47" s="40"/>
      <c r="E47" s="40"/>
      <c r="F47" s="40"/>
      <c r="G47" s="40"/>
      <c r="H47" s="40"/>
      <c r="I47" s="23">
        <v>450.0</v>
      </c>
      <c r="J47" s="29"/>
      <c r="K47" s="29"/>
      <c r="L47" s="29"/>
      <c r="M47" s="29"/>
      <c r="N47" s="29"/>
      <c r="O47" s="74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85"/>
      <c r="B48" s="3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74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86"/>
      <c r="B49" s="87" t="s">
        <v>111</v>
      </c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9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22" t="s">
        <v>62</v>
      </c>
      <c r="B50" s="23" t="s">
        <v>63</v>
      </c>
      <c r="C50" s="40"/>
      <c r="D50" s="40"/>
      <c r="E50" s="40"/>
      <c r="F50" s="40"/>
      <c r="G50" s="40"/>
      <c r="H50" s="40"/>
      <c r="I50" s="40"/>
      <c r="J50" s="40"/>
      <c r="K50" s="29"/>
      <c r="L50" s="29"/>
      <c r="M50" s="29"/>
      <c r="N50" s="29"/>
      <c r="O50" s="74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22" t="s">
        <v>64</v>
      </c>
      <c r="B51" s="27" t="s">
        <v>19</v>
      </c>
      <c r="C51" s="40"/>
      <c r="D51" s="40"/>
      <c r="E51" s="40"/>
      <c r="F51" s="40"/>
      <c r="G51" s="40"/>
      <c r="H51" s="40"/>
      <c r="I51" s="40"/>
      <c r="J51" s="83">
        <v>1500.0</v>
      </c>
      <c r="K51" s="29"/>
      <c r="L51" s="29"/>
      <c r="M51" s="29"/>
      <c r="N51" s="29"/>
      <c r="O51" s="74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22" t="s">
        <v>65</v>
      </c>
      <c r="B52" s="27" t="s">
        <v>21</v>
      </c>
      <c r="C52" s="40"/>
      <c r="D52" s="40"/>
      <c r="E52" s="40"/>
      <c r="F52" s="40"/>
      <c r="G52" s="40"/>
      <c r="H52" s="40"/>
      <c r="I52" s="40"/>
      <c r="J52" s="83">
        <v>4500.0</v>
      </c>
      <c r="K52" s="29"/>
      <c r="L52" s="29"/>
      <c r="M52" s="29"/>
      <c r="N52" s="29"/>
      <c r="O52" s="74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22" t="s">
        <v>66</v>
      </c>
      <c r="B53" s="27" t="s">
        <v>23</v>
      </c>
      <c r="C53" s="40"/>
      <c r="D53" s="40"/>
      <c r="E53" s="40"/>
      <c r="F53" s="40"/>
      <c r="G53" s="40"/>
      <c r="H53" s="40"/>
      <c r="I53" s="40"/>
      <c r="J53" s="83">
        <v>2000.0</v>
      </c>
      <c r="K53" s="29"/>
      <c r="L53" s="29"/>
      <c r="M53" s="29"/>
      <c r="N53" s="29"/>
      <c r="O53" s="74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22" t="s">
        <v>67</v>
      </c>
      <c r="B54" s="27" t="s">
        <v>25</v>
      </c>
      <c r="C54" s="40"/>
      <c r="D54" s="40"/>
      <c r="E54" s="40"/>
      <c r="F54" s="40"/>
      <c r="G54" s="40"/>
      <c r="H54" s="40"/>
      <c r="I54" s="40"/>
      <c r="J54" s="23">
        <v>750.0</v>
      </c>
      <c r="K54" s="29"/>
      <c r="L54" s="29"/>
      <c r="M54" s="29"/>
      <c r="N54" s="29"/>
      <c r="O54" s="74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85"/>
      <c r="B55" s="3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74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86"/>
      <c r="B56" s="87" t="s">
        <v>112</v>
      </c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9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7.25" customHeight="1">
      <c r="A57" s="34" t="s">
        <v>69</v>
      </c>
      <c r="B57" s="23" t="s">
        <v>70</v>
      </c>
      <c r="C57" s="40"/>
      <c r="D57" s="40"/>
      <c r="E57" s="40"/>
      <c r="F57" s="40"/>
      <c r="G57" s="40"/>
      <c r="H57" s="40"/>
      <c r="I57" s="40"/>
      <c r="J57" s="40"/>
      <c r="K57" s="29"/>
      <c r="L57" s="29"/>
      <c r="M57" s="29"/>
      <c r="N57" s="29"/>
      <c r="O57" s="74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34" t="s">
        <v>71</v>
      </c>
      <c r="B58" s="27" t="s">
        <v>19</v>
      </c>
      <c r="C58" s="40"/>
      <c r="D58" s="40"/>
      <c r="E58" s="40"/>
      <c r="F58" s="40"/>
      <c r="G58" s="40"/>
      <c r="H58" s="40"/>
      <c r="I58" s="40"/>
      <c r="J58" s="83">
        <v>9000.0</v>
      </c>
      <c r="K58" s="29"/>
      <c r="L58" s="29"/>
      <c r="M58" s="29"/>
      <c r="N58" s="29"/>
      <c r="O58" s="74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34" t="s">
        <v>72</v>
      </c>
      <c r="B59" s="27" t="s">
        <v>21</v>
      </c>
      <c r="C59" s="40"/>
      <c r="D59" s="40"/>
      <c r="E59" s="40"/>
      <c r="F59" s="40"/>
      <c r="G59" s="40"/>
      <c r="H59" s="40"/>
      <c r="I59" s="40"/>
      <c r="J59" s="83">
        <v>1500.0</v>
      </c>
      <c r="K59" s="29"/>
      <c r="L59" s="29"/>
      <c r="M59" s="29"/>
      <c r="N59" s="29"/>
      <c r="O59" s="74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34" t="s">
        <v>73</v>
      </c>
      <c r="B60" s="27" t="s">
        <v>23</v>
      </c>
      <c r="C60" s="40"/>
      <c r="D60" s="40"/>
      <c r="E60" s="40"/>
      <c r="F60" s="40"/>
      <c r="G60" s="40"/>
      <c r="H60" s="40"/>
      <c r="I60" s="40"/>
      <c r="J60" s="83">
        <v>6000.0</v>
      </c>
      <c r="K60" s="29"/>
      <c r="L60" s="29"/>
      <c r="M60" s="29"/>
      <c r="N60" s="29"/>
      <c r="O60" s="74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34" t="s">
        <v>74</v>
      </c>
      <c r="B61" s="27" t="s">
        <v>25</v>
      </c>
      <c r="C61" s="40"/>
      <c r="D61" s="40"/>
      <c r="E61" s="40"/>
      <c r="F61" s="40"/>
      <c r="G61" s="40"/>
      <c r="H61" s="40"/>
      <c r="I61" s="40"/>
      <c r="J61" s="23">
        <v>750.0</v>
      </c>
      <c r="K61" s="29"/>
      <c r="L61" s="29"/>
      <c r="M61" s="29"/>
      <c r="N61" s="29"/>
      <c r="O61" s="74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85"/>
      <c r="B62" s="3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74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86"/>
      <c r="B63" s="87" t="s">
        <v>113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9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8.0" customHeight="1">
      <c r="A64" s="34" t="s">
        <v>76</v>
      </c>
      <c r="B64" s="23" t="s">
        <v>77</v>
      </c>
      <c r="C64" s="40"/>
      <c r="D64" s="40"/>
      <c r="E64" s="40"/>
      <c r="F64" s="40"/>
      <c r="G64" s="40"/>
      <c r="H64" s="40"/>
      <c r="I64" s="40"/>
      <c r="J64" s="40"/>
      <c r="K64" s="40"/>
      <c r="L64" s="29"/>
      <c r="M64" s="29"/>
      <c r="N64" s="29"/>
      <c r="O64" s="74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34" t="s">
        <v>78</v>
      </c>
      <c r="B65" s="27" t="s">
        <v>19</v>
      </c>
      <c r="C65" s="40"/>
      <c r="D65" s="40"/>
      <c r="E65" s="40"/>
      <c r="F65" s="40"/>
      <c r="G65" s="40"/>
      <c r="H65" s="40"/>
      <c r="I65" s="40"/>
      <c r="J65" s="83">
        <v>18000.0</v>
      </c>
      <c r="K65" s="40"/>
      <c r="L65" s="29"/>
      <c r="M65" s="29"/>
      <c r="N65" s="29"/>
      <c r="O65" s="74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34" t="s">
        <v>79</v>
      </c>
      <c r="B66" s="27" t="s">
        <v>21</v>
      </c>
      <c r="C66" s="40"/>
      <c r="D66" s="40"/>
      <c r="E66" s="40"/>
      <c r="F66" s="40"/>
      <c r="G66" s="40"/>
      <c r="H66" s="40"/>
      <c r="I66" s="40"/>
      <c r="J66" s="83">
        <v>6000.0</v>
      </c>
      <c r="K66" s="40"/>
      <c r="L66" s="29"/>
      <c r="M66" s="29"/>
      <c r="N66" s="29"/>
      <c r="O66" s="74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34" t="s">
        <v>80</v>
      </c>
      <c r="B67" s="27" t="s">
        <v>23</v>
      </c>
      <c r="C67" s="40"/>
      <c r="D67" s="40"/>
      <c r="E67" s="40"/>
      <c r="F67" s="40"/>
      <c r="G67" s="40"/>
      <c r="H67" s="40"/>
      <c r="I67" s="40"/>
      <c r="J67" s="83">
        <v>3000.0</v>
      </c>
      <c r="K67" s="40"/>
      <c r="L67" s="29"/>
      <c r="M67" s="29"/>
      <c r="N67" s="29"/>
      <c r="O67" s="74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34" t="s">
        <v>81</v>
      </c>
      <c r="B68" s="27" t="s">
        <v>25</v>
      </c>
      <c r="C68" s="40"/>
      <c r="D68" s="40"/>
      <c r="E68" s="40"/>
      <c r="F68" s="40"/>
      <c r="G68" s="40"/>
      <c r="H68" s="40"/>
      <c r="I68" s="40"/>
      <c r="J68" s="40"/>
      <c r="K68" s="83">
        <v>2250.0</v>
      </c>
      <c r="L68" s="29"/>
      <c r="M68" s="29"/>
      <c r="N68" s="29"/>
      <c r="O68" s="74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85"/>
      <c r="B69" s="3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74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86"/>
      <c r="B70" s="87" t="s">
        <v>114</v>
      </c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9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34" t="s">
        <v>83</v>
      </c>
      <c r="B71" s="23" t="s">
        <v>84</v>
      </c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32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4" t="s">
        <v>85</v>
      </c>
      <c r="B72" s="27" t="s">
        <v>19</v>
      </c>
      <c r="C72" s="40"/>
      <c r="D72" s="40"/>
      <c r="E72" s="40"/>
      <c r="F72" s="40"/>
      <c r="G72" s="40"/>
      <c r="H72" s="40"/>
      <c r="I72" s="40"/>
      <c r="J72" s="83">
        <v>12000.0</v>
      </c>
      <c r="K72" s="40"/>
      <c r="L72" s="40"/>
      <c r="M72" s="40"/>
      <c r="N72" s="40"/>
      <c r="O72" s="32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4" t="s">
        <v>86</v>
      </c>
      <c r="B73" s="27" t="s">
        <v>21</v>
      </c>
      <c r="C73" s="40"/>
      <c r="D73" s="40"/>
      <c r="E73" s="40"/>
      <c r="F73" s="40"/>
      <c r="G73" s="40"/>
      <c r="H73" s="40"/>
      <c r="I73" s="40"/>
      <c r="J73" s="83">
        <v>2000.0</v>
      </c>
      <c r="K73" s="40"/>
      <c r="L73" s="40"/>
      <c r="M73" s="40"/>
      <c r="N73" s="40"/>
      <c r="O73" s="32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4" t="s">
        <v>87</v>
      </c>
      <c r="B74" s="27" t="s">
        <v>23</v>
      </c>
      <c r="C74" s="40"/>
      <c r="D74" s="40"/>
      <c r="E74" s="40"/>
      <c r="F74" s="40"/>
      <c r="G74" s="40"/>
      <c r="H74" s="40"/>
      <c r="I74" s="40"/>
      <c r="J74" s="40"/>
      <c r="K74" s="23">
        <v>750.0</v>
      </c>
      <c r="L74" s="40"/>
      <c r="M74" s="40"/>
      <c r="N74" s="40"/>
      <c r="O74" s="32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4" t="s">
        <v>88</v>
      </c>
      <c r="B75" s="27" t="s">
        <v>25</v>
      </c>
      <c r="C75" s="40"/>
      <c r="D75" s="40"/>
      <c r="E75" s="40"/>
      <c r="F75" s="40"/>
      <c r="G75" s="40"/>
      <c r="H75" s="40"/>
      <c r="I75" s="40"/>
      <c r="J75" s="40"/>
      <c r="K75" s="23">
        <v>450.0</v>
      </c>
      <c r="L75" s="40"/>
      <c r="M75" s="40"/>
      <c r="N75" s="40"/>
      <c r="O75" s="32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85"/>
      <c r="B76" s="3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74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86"/>
      <c r="B77" s="87" t="s">
        <v>115</v>
      </c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74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34" t="s">
        <v>90</v>
      </c>
      <c r="B78" s="23" t="s">
        <v>91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32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4" t="s">
        <v>92</v>
      </c>
      <c r="B79" s="27" t="s">
        <v>19</v>
      </c>
      <c r="C79" s="40"/>
      <c r="D79" s="40"/>
      <c r="E79" s="40"/>
      <c r="F79" s="40"/>
      <c r="G79" s="40"/>
      <c r="H79" s="40"/>
      <c r="I79" s="40"/>
      <c r="J79" s="23"/>
      <c r="K79" s="83">
        <v>15000.0</v>
      </c>
      <c r="L79" s="40"/>
      <c r="M79" s="40"/>
      <c r="N79" s="40"/>
      <c r="O79" s="32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4" t="s">
        <v>93</v>
      </c>
      <c r="B80" s="27" t="s">
        <v>21</v>
      </c>
      <c r="C80" s="40"/>
      <c r="D80" s="40"/>
      <c r="E80" s="40"/>
      <c r="F80" s="40"/>
      <c r="G80" s="40"/>
      <c r="H80" s="40"/>
      <c r="I80" s="40"/>
      <c r="J80" s="23"/>
      <c r="K80" s="83">
        <v>7500.0</v>
      </c>
      <c r="L80" s="40"/>
      <c r="M80" s="40"/>
      <c r="N80" s="40"/>
      <c r="O80" s="32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4" t="s">
        <v>94</v>
      </c>
      <c r="B81" s="27" t="s">
        <v>23</v>
      </c>
      <c r="C81" s="40"/>
      <c r="D81" s="40"/>
      <c r="E81" s="40"/>
      <c r="F81" s="40"/>
      <c r="G81" s="40"/>
      <c r="H81" s="40"/>
      <c r="I81" s="40"/>
      <c r="J81" s="40"/>
      <c r="K81" s="83">
        <v>2000.0</v>
      </c>
      <c r="L81" s="40"/>
      <c r="M81" s="40"/>
      <c r="N81" s="40"/>
      <c r="O81" s="32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4" t="s">
        <v>95</v>
      </c>
      <c r="B82" s="27" t="s">
        <v>25</v>
      </c>
      <c r="C82" s="40"/>
      <c r="D82" s="40"/>
      <c r="E82" s="40"/>
      <c r="F82" s="40"/>
      <c r="G82" s="40"/>
      <c r="H82" s="40"/>
      <c r="I82" s="40"/>
      <c r="J82" s="40"/>
      <c r="K82" s="83">
        <v>2000.0</v>
      </c>
      <c r="L82" s="40"/>
      <c r="M82" s="40"/>
      <c r="N82" s="40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85"/>
      <c r="B83" s="3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74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86"/>
      <c r="B84" s="91" t="s">
        <v>116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74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34" t="s">
        <v>97</v>
      </c>
      <c r="B85" s="23" t="s">
        <v>98</v>
      </c>
      <c r="C85" s="40"/>
      <c r="D85" s="40"/>
      <c r="E85" s="40"/>
      <c r="F85" s="40"/>
      <c r="G85" s="40"/>
      <c r="H85" s="40"/>
      <c r="I85" s="40"/>
      <c r="J85" s="40"/>
      <c r="K85" s="40"/>
      <c r="L85" s="29"/>
      <c r="M85" s="29"/>
      <c r="N85" s="29"/>
      <c r="O85" s="74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34" t="s">
        <v>99</v>
      </c>
      <c r="B86" s="27" t="s">
        <v>19</v>
      </c>
      <c r="C86" s="40"/>
      <c r="D86" s="40"/>
      <c r="E86" s="40"/>
      <c r="F86" s="40"/>
      <c r="G86" s="40"/>
      <c r="H86" s="40"/>
      <c r="I86" s="40"/>
      <c r="J86" s="23"/>
      <c r="K86" s="83">
        <v>12000.0</v>
      </c>
      <c r="L86" s="29"/>
      <c r="M86" s="29"/>
      <c r="N86" s="29"/>
      <c r="O86" s="74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34" t="s">
        <v>100</v>
      </c>
      <c r="B87" s="27" t="s">
        <v>21</v>
      </c>
      <c r="C87" s="40"/>
      <c r="D87" s="40"/>
      <c r="E87" s="40"/>
      <c r="F87" s="40"/>
      <c r="G87" s="40"/>
      <c r="H87" s="40"/>
      <c r="I87" s="40"/>
      <c r="J87" s="23"/>
      <c r="K87" s="83">
        <v>3000.0</v>
      </c>
      <c r="L87" s="29"/>
      <c r="M87" s="29"/>
      <c r="N87" s="29"/>
      <c r="O87" s="74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34" t="s">
        <v>101</v>
      </c>
      <c r="B88" s="27" t="s">
        <v>23</v>
      </c>
      <c r="C88" s="40"/>
      <c r="D88" s="40"/>
      <c r="E88" s="40"/>
      <c r="F88" s="40"/>
      <c r="G88" s="40"/>
      <c r="H88" s="40"/>
      <c r="I88" s="40"/>
      <c r="J88" s="40"/>
      <c r="K88" s="83">
        <v>2000.0</v>
      </c>
      <c r="L88" s="29"/>
      <c r="M88" s="29"/>
      <c r="N88" s="29"/>
      <c r="O88" s="74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34" t="s">
        <v>102</v>
      </c>
      <c r="B89" s="27" t="s">
        <v>25</v>
      </c>
      <c r="C89" s="40"/>
      <c r="D89" s="40"/>
      <c r="E89" s="40"/>
      <c r="F89" s="40"/>
      <c r="G89" s="40"/>
      <c r="H89" s="40"/>
      <c r="I89" s="40"/>
      <c r="J89" s="40"/>
      <c r="K89" s="23">
        <v>750.0</v>
      </c>
      <c r="L89" s="29"/>
      <c r="M89" s="29"/>
      <c r="N89" s="29"/>
      <c r="O89" s="74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85"/>
      <c r="B90" s="3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74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92"/>
      <c r="B91" s="93" t="s">
        <v>103</v>
      </c>
      <c r="C91" s="94">
        <f t="shared" ref="C91:N91" si="1">SUM(C8:C90)</f>
        <v>0</v>
      </c>
      <c r="D91" s="94">
        <f t="shared" si="1"/>
        <v>0</v>
      </c>
      <c r="E91" s="94">
        <f t="shared" si="1"/>
        <v>0</v>
      </c>
      <c r="F91" s="94">
        <f t="shared" si="1"/>
        <v>40500</v>
      </c>
      <c r="G91" s="94">
        <f t="shared" si="1"/>
        <v>63700</v>
      </c>
      <c r="H91" s="94">
        <f t="shared" si="1"/>
        <v>5000</v>
      </c>
      <c r="I91" s="94">
        <f t="shared" si="1"/>
        <v>47700</v>
      </c>
      <c r="J91" s="94">
        <f t="shared" si="1"/>
        <v>72250</v>
      </c>
      <c r="K91" s="94">
        <f t="shared" si="1"/>
        <v>47700</v>
      </c>
      <c r="L91" s="94">
        <f t="shared" si="1"/>
        <v>0</v>
      </c>
      <c r="M91" s="94">
        <f t="shared" si="1"/>
        <v>0</v>
      </c>
      <c r="N91" s="94">
        <f t="shared" si="1"/>
        <v>0</v>
      </c>
      <c r="O91" s="74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95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97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97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97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97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97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97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97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97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97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97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97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97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97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97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97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97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97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97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97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97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97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97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97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97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97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97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97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97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97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97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97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97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97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97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97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97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97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97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97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97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97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97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97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97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97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97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97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97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97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97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97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97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97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97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97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97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97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97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97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97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97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97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97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97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97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97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97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97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97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97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97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97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97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97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97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97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97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97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97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97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97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97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97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97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97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97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97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97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97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97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97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97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97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97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97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97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97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97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97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97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97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97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97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97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97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97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97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97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97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97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97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97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97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97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97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97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97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97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97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97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97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97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97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97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97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97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97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97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97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97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97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97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97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97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97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97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97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97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97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97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97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97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97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97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97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97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97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97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97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97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97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97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>
      <c r="A245" s="97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5.75" customHeight="1">
      <c r="A246" s="97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5.75" customHeight="1">
      <c r="A247" s="97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5.75" customHeight="1">
      <c r="A248" s="97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5.75" customHeight="1">
      <c r="A249" s="97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5.75" customHeight="1">
      <c r="A250" s="97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5.75" customHeight="1">
      <c r="A251" s="97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5.75" customHeight="1">
      <c r="A252" s="97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5.75" customHeight="1">
      <c r="A253" s="97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5.75" customHeight="1">
      <c r="A254" s="97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5.75" customHeight="1">
      <c r="A255" s="97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5.75" customHeight="1">
      <c r="A256" s="97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5.75" customHeight="1">
      <c r="A257" s="97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5.75" customHeight="1">
      <c r="A258" s="97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5.75" customHeight="1">
      <c r="A259" s="97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5.75" customHeight="1">
      <c r="A260" s="97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5.75" customHeight="1">
      <c r="A261" s="97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5.75" customHeight="1">
      <c r="A262" s="97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5.75" customHeight="1">
      <c r="A263" s="97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5.75" customHeight="1">
      <c r="A264" s="97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5.75" customHeight="1">
      <c r="A265" s="97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5.75" customHeight="1">
      <c r="A266" s="97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5.75" customHeight="1">
      <c r="A267" s="97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5.75" customHeight="1">
      <c r="A268" s="97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5.75" customHeight="1">
      <c r="A269" s="97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5.75" customHeight="1">
      <c r="A270" s="97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5.75" customHeight="1">
      <c r="A271" s="97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5.75" customHeight="1">
      <c r="A272" s="97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5.75" customHeight="1">
      <c r="A273" s="97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5.75" customHeight="1">
      <c r="A274" s="97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5.75" customHeight="1">
      <c r="A275" s="97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5.75" customHeight="1">
      <c r="A276" s="97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5.75" customHeight="1">
      <c r="A277" s="97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5.75" customHeight="1">
      <c r="A278" s="97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5.75" customHeight="1">
      <c r="A279" s="97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5.75" customHeight="1">
      <c r="A280" s="97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5.75" customHeight="1">
      <c r="A281" s="97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5.75" customHeight="1">
      <c r="A282" s="97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5.75" customHeight="1">
      <c r="A283" s="97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5.75" customHeight="1">
      <c r="A284" s="97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5.75" customHeight="1">
      <c r="A285" s="97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5.75" customHeight="1">
      <c r="A286" s="97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5.75" customHeight="1">
      <c r="A287" s="97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5.75" customHeight="1">
      <c r="A288" s="97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5.75" customHeight="1">
      <c r="A289" s="97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5.75" customHeight="1">
      <c r="A290" s="97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5.75" customHeight="1">
      <c r="A291" s="97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">
    <mergeCell ref="A1:N3"/>
    <mergeCell ref="A4:D4"/>
    <mergeCell ref="A6:B6"/>
  </mergeCells>
  <printOptions/>
  <pageMargins bottom="0.75" footer="0.0" header="0.0" left="0.7" right="0.7" top="0.75"/>
  <pageSetup orientation="portrait"/>
  <headerFooter>
    <oddFooter>&amp;L_x000D_#000000 ***Este documento está clasificado como PUBLICO por TELEFÓNICA. ***This document is classified as PUBLIC by TELEFÓNICA.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.29"/>
    <col customWidth="1" min="3" max="3" width="29.43"/>
    <col customWidth="1" min="4" max="4" width="16.71"/>
    <col customWidth="1" min="5" max="5" width="16.14"/>
    <col customWidth="1" min="6" max="6" width="17.43"/>
    <col customWidth="1" min="7" max="8" width="14.86"/>
    <col customWidth="1" min="9" max="9" width="14.43"/>
    <col customWidth="1" min="10" max="10" width="16.43"/>
    <col customWidth="1" min="11" max="11" width="14.43"/>
    <col customWidth="1" min="12" max="12" width="16.43"/>
    <col customWidth="1" min="13" max="14" width="15.43"/>
    <col customWidth="1" min="15" max="15" width="16.71"/>
    <col customWidth="1" min="16" max="16" width="3.29"/>
  </cols>
  <sheetData>
    <row r="2">
      <c r="B2" s="98" t="s">
        <v>117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99"/>
      <c r="P2" s="100"/>
    </row>
    <row r="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1"/>
      <c r="P3" s="100"/>
    </row>
    <row r="4">
      <c r="B4" s="102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3"/>
      <c r="P4" s="100"/>
    </row>
    <row r="5">
      <c r="B5" s="102"/>
      <c r="C5" s="104" t="s">
        <v>118</v>
      </c>
      <c r="D5" s="105" t="s">
        <v>119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7"/>
      <c r="P5" s="100"/>
    </row>
    <row r="6">
      <c r="B6" s="102"/>
      <c r="C6" s="104" t="s">
        <v>120</v>
      </c>
      <c r="D6" s="108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10"/>
      <c r="P6" s="100"/>
    </row>
    <row r="7">
      <c r="B7" s="102"/>
      <c r="C7" s="104" t="s">
        <v>121</v>
      </c>
      <c r="D7" s="111">
        <v>45767.0</v>
      </c>
      <c r="E7" s="18"/>
      <c r="F7" s="112" t="s">
        <v>122</v>
      </c>
      <c r="G7" s="18"/>
      <c r="H7" s="113">
        <v>45930.0</v>
      </c>
      <c r="I7" s="109"/>
      <c r="J7" s="18"/>
      <c r="K7" s="112" t="s">
        <v>123</v>
      </c>
      <c r="L7" s="18"/>
      <c r="M7" s="111">
        <v>45919.0</v>
      </c>
      <c r="N7" s="109"/>
      <c r="O7" s="110"/>
      <c r="P7" s="100"/>
    </row>
    <row r="8">
      <c r="B8" s="102"/>
      <c r="C8" s="114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6"/>
      <c r="P8" s="100"/>
    </row>
    <row r="9">
      <c r="B9" s="102"/>
      <c r="C9" s="117"/>
      <c r="D9" s="118" t="s">
        <v>124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10"/>
      <c r="P9" s="100"/>
    </row>
    <row r="10">
      <c r="B10" s="102"/>
      <c r="C10" s="119"/>
      <c r="D10" s="120" t="s">
        <v>125</v>
      </c>
      <c r="E10" s="120" t="s">
        <v>126</v>
      </c>
      <c r="F10" s="120" t="s">
        <v>127</v>
      </c>
      <c r="G10" s="120" t="s">
        <v>128</v>
      </c>
      <c r="H10" s="120" t="s">
        <v>129</v>
      </c>
      <c r="I10" s="120" t="s">
        <v>130</v>
      </c>
      <c r="J10" s="120" t="s">
        <v>131</v>
      </c>
      <c r="K10" s="120" t="s">
        <v>132</v>
      </c>
      <c r="L10" s="120" t="s">
        <v>133</v>
      </c>
      <c r="M10" s="120" t="s">
        <v>134</v>
      </c>
      <c r="N10" s="120" t="s">
        <v>135</v>
      </c>
      <c r="O10" s="120" t="s">
        <v>136</v>
      </c>
      <c r="P10" s="100"/>
    </row>
    <row r="11">
      <c r="B11" s="102"/>
      <c r="C11" s="104" t="s">
        <v>137</v>
      </c>
      <c r="D11" s="121">
        <f>'Detalle de Costos Planificados'!C91</f>
        <v>0</v>
      </c>
      <c r="E11" s="121">
        <f>'Detalle de Costos Planificados'!D91</f>
        <v>0</v>
      </c>
      <c r="F11" s="121">
        <f>'Detalle de Costos Planificados'!E91</f>
        <v>0</v>
      </c>
      <c r="G11" s="121">
        <f>'Detalle de Costos Planificados'!F91</f>
        <v>30500</v>
      </c>
      <c r="H11" s="121">
        <f>'Detalle de Costos Planificados'!G91</f>
        <v>38300</v>
      </c>
      <c r="I11" s="121">
        <f>'Detalle de Costos Planificados'!H91</f>
        <v>3000</v>
      </c>
      <c r="J11" s="121">
        <f>'Detalle de Costos Planificados'!I91</f>
        <v>31800</v>
      </c>
      <c r="K11" s="121">
        <f>'Detalle de Costos Planificados'!J91</f>
        <v>46500</v>
      </c>
      <c r="L11" s="121">
        <f>'Detalle de Costos Planificados'!K91</f>
        <v>30800</v>
      </c>
      <c r="M11" s="121">
        <f>'Detalle de Costos Planificados'!L91</f>
        <v>0</v>
      </c>
      <c r="N11" s="121">
        <f>'Detalle de Costos Planificados'!M91</f>
        <v>0</v>
      </c>
      <c r="O11" s="121">
        <f>'Detalle de Costos Planificados'!N91</f>
        <v>0</v>
      </c>
      <c r="P11" s="100"/>
    </row>
    <row r="12">
      <c r="B12" s="102"/>
      <c r="C12" s="104" t="s">
        <v>138</v>
      </c>
      <c r="D12" s="121">
        <f>D11</f>
        <v>0</v>
      </c>
      <c r="E12" s="121">
        <f t="shared" ref="E12:O12" si="1">E11+D12</f>
        <v>0</v>
      </c>
      <c r="F12" s="121">
        <f t="shared" si="1"/>
        <v>0</v>
      </c>
      <c r="G12" s="121">
        <f t="shared" si="1"/>
        <v>30500</v>
      </c>
      <c r="H12" s="121">
        <f t="shared" si="1"/>
        <v>68800</v>
      </c>
      <c r="I12" s="121">
        <f t="shared" si="1"/>
        <v>71800</v>
      </c>
      <c r="J12" s="121">
        <f t="shared" si="1"/>
        <v>103600</v>
      </c>
      <c r="K12" s="121">
        <f t="shared" si="1"/>
        <v>150100</v>
      </c>
      <c r="L12" s="121">
        <f t="shared" si="1"/>
        <v>180900</v>
      </c>
      <c r="M12" s="121">
        <f t="shared" si="1"/>
        <v>180900</v>
      </c>
      <c r="N12" s="121">
        <f t="shared" si="1"/>
        <v>180900</v>
      </c>
      <c r="O12" s="121">
        <f t="shared" si="1"/>
        <v>180900</v>
      </c>
      <c r="P12" s="100"/>
    </row>
    <row r="13">
      <c r="B13" s="102"/>
      <c r="C13" s="104" t="s">
        <v>139</v>
      </c>
      <c r="D13" s="121">
        <f>'Detalle de Costos Reales'!C91</f>
        <v>0</v>
      </c>
      <c r="E13" s="121">
        <f>'Detalle de Costos Reales'!D91</f>
        <v>0</v>
      </c>
      <c r="F13" s="121">
        <f>'Detalle de Costos Reales'!E91</f>
        <v>0</v>
      </c>
      <c r="G13" s="121">
        <f>'Detalle de Costos Reales'!F91</f>
        <v>40500</v>
      </c>
      <c r="H13" s="121">
        <f>'Detalle de Costos Reales'!G91</f>
        <v>63700</v>
      </c>
      <c r="I13" s="121">
        <f>'Detalle de Costos Reales'!H91</f>
        <v>5000</v>
      </c>
      <c r="J13" s="121">
        <f>'Detalle de Costos Reales'!I91</f>
        <v>47700</v>
      </c>
      <c r="K13" s="121">
        <f>'Detalle de Costos Reales'!J91</f>
        <v>72250</v>
      </c>
      <c r="L13" s="121">
        <f>'Detalle de Costos Reales'!K91</f>
        <v>47700</v>
      </c>
      <c r="M13" s="121">
        <f>'Detalle de Costos Reales'!L91</f>
        <v>0</v>
      </c>
      <c r="N13" s="121">
        <f>'Detalle de Costos Reales'!M91</f>
        <v>0</v>
      </c>
      <c r="O13" s="121">
        <f>'Detalle de Costos Reales'!N91</f>
        <v>0</v>
      </c>
      <c r="P13" s="100"/>
    </row>
    <row r="14">
      <c r="B14" s="102"/>
      <c r="C14" s="104" t="s">
        <v>140</v>
      </c>
      <c r="D14" s="121">
        <f>D13</f>
        <v>0</v>
      </c>
      <c r="E14" s="121">
        <f t="shared" ref="E14:O14" si="2">D14+E13</f>
        <v>0</v>
      </c>
      <c r="F14" s="121">
        <f t="shared" si="2"/>
        <v>0</v>
      </c>
      <c r="G14" s="121">
        <f t="shared" si="2"/>
        <v>40500</v>
      </c>
      <c r="H14" s="121">
        <f t="shared" si="2"/>
        <v>104200</v>
      </c>
      <c r="I14" s="121">
        <f t="shared" si="2"/>
        <v>109200</v>
      </c>
      <c r="J14" s="121">
        <f t="shared" si="2"/>
        <v>156900</v>
      </c>
      <c r="K14" s="121">
        <f t="shared" si="2"/>
        <v>229150</v>
      </c>
      <c r="L14" s="121">
        <f t="shared" si="2"/>
        <v>276850</v>
      </c>
      <c r="M14" s="121">
        <f t="shared" si="2"/>
        <v>276850</v>
      </c>
      <c r="N14" s="121">
        <f t="shared" si="2"/>
        <v>276850</v>
      </c>
      <c r="O14" s="121">
        <f t="shared" si="2"/>
        <v>276850</v>
      </c>
      <c r="P14" s="100"/>
    </row>
    <row r="15">
      <c r="B15" s="102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3"/>
      <c r="P15" s="100"/>
    </row>
    <row r="16">
      <c r="B16" s="102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3"/>
      <c r="P16" s="100"/>
    </row>
    <row r="17">
      <c r="B17" s="102"/>
      <c r="C17" s="122"/>
      <c r="D17" s="123"/>
      <c r="E17" s="124"/>
      <c r="F17" s="100"/>
      <c r="G17" s="100"/>
      <c r="H17" s="100"/>
      <c r="I17" s="100"/>
      <c r="J17" s="100"/>
      <c r="K17" s="100"/>
      <c r="L17" s="100"/>
      <c r="M17" s="100"/>
      <c r="N17" s="100"/>
      <c r="O17" s="103"/>
      <c r="P17" s="100"/>
    </row>
    <row r="18">
      <c r="B18" s="102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3"/>
      <c r="P18" s="100"/>
    </row>
    <row r="19">
      <c r="B19" s="102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3"/>
      <c r="P19" s="100"/>
    </row>
    <row r="20">
      <c r="B20" s="102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3"/>
      <c r="P20" s="100"/>
    </row>
    <row r="21" ht="15.75" customHeight="1">
      <c r="B21" s="102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3"/>
      <c r="P21" s="100"/>
    </row>
    <row r="22" ht="15.75" customHeight="1">
      <c r="B22" s="102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3"/>
      <c r="P22" s="100"/>
    </row>
    <row r="23" ht="15.75" customHeight="1">
      <c r="B23" s="102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3"/>
      <c r="P23" s="100"/>
    </row>
    <row r="24" ht="15.75" customHeight="1">
      <c r="B24" s="102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3"/>
      <c r="P24" s="100"/>
    </row>
    <row r="25" ht="15.75" customHeight="1">
      <c r="B25" s="102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3"/>
      <c r="P25" s="100"/>
    </row>
    <row r="26" ht="15.75" customHeight="1">
      <c r="B26" s="102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3"/>
      <c r="P26" s="100"/>
    </row>
    <row r="27" ht="15.75" customHeight="1">
      <c r="B27" s="102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3"/>
      <c r="P27" s="100"/>
    </row>
    <row r="28" ht="15.75" customHeight="1">
      <c r="B28" s="102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3"/>
      <c r="P28" s="100"/>
    </row>
    <row r="29" ht="15.75" customHeight="1">
      <c r="B29" s="102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3"/>
    </row>
    <row r="30" ht="15.75" customHeight="1">
      <c r="B30" s="102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3"/>
    </row>
    <row r="31" ht="15.75" customHeight="1">
      <c r="B31" s="102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3"/>
    </row>
    <row r="32" ht="15.75" customHeight="1">
      <c r="B32" s="102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3"/>
    </row>
    <row r="33" ht="15.75" customHeight="1">
      <c r="B33" s="102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3"/>
    </row>
    <row r="34" ht="15.75" customHeight="1">
      <c r="B34" s="102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3"/>
    </row>
    <row r="35" ht="15.75" customHeight="1">
      <c r="B35" s="102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3"/>
    </row>
    <row r="36" ht="15.75" customHeight="1">
      <c r="B36" s="102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3"/>
    </row>
    <row r="37" ht="15.75" customHeight="1">
      <c r="B37" s="102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3"/>
    </row>
    <row r="38" ht="15.75" customHeight="1">
      <c r="B38" s="102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3"/>
    </row>
    <row r="39" ht="15.75" customHeight="1">
      <c r="B39" s="125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O3"/>
    <mergeCell ref="D6:O6"/>
    <mergeCell ref="D7:E7"/>
    <mergeCell ref="F7:G7"/>
    <mergeCell ref="H7:J7"/>
    <mergeCell ref="K7:L7"/>
    <mergeCell ref="M7:O7"/>
    <mergeCell ref="D9:O9"/>
  </mergeCells>
  <printOptions/>
  <pageMargins bottom="0.75" footer="0.0" header="0.0" left="0.7" right="0.7" top="0.75"/>
  <pageSetup scale="32" orientation="portrait"/>
  <headerFooter>
    <oddFooter>&amp;L_x000D_#000000 ***Este documento está clasificado como PUBLICO por TELEFÓNICA. ***This document is classified as PUBLIC by TELEFÓNICA.</oddFooter>
  </headerFooter>
  <drawing r:id="rId1"/>
</worksheet>
</file>