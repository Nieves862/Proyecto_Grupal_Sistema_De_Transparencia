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F:\TELEFONICA NOV2019\DATOS\disco SAMSUNG\TELEFONICA\AÑO 2024\ANA FARIAS ISPC\TELECOMUNICACIONES\CLASES GESTION DE PROYECTOS\CLASE NRO 7 210524\"/>
    </mc:Choice>
  </mc:AlternateContent>
  <xr:revisionPtr revIDLastSave="0" documentId="8_{1967B447-A836-403D-B3B9-DE43213235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de Costos Planificados" sheetId="1" r:id="rId1"/>
    <sheet name="Detalle de Costos Reales" sheetId="2" r:id="rId2"/>
    <sheet name="Curva 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" i="2" l="1"/>
  <c r="O13" i="3" s="1"/>
  <c r="M82" i="2"/>
  <c r="N13" i="3" s="1"/>
  <c r="L82" i="2"/>
  <c r="M13" i="3" s="1"/>
  <c r="K82" i="2"/>
  <c r="L13" i="3" s="1"/>
  <c r="J82" i="2"/>
  <c r="K13" i="3" s="1"/>
  <c r="I82" i="2"/>
  <c r="J13" i="3" s="1"/>
  <c r="H82" i="2"/>
  <c r="I13" i="3" s="1"/>
  <c r="G82" i="2"/>
  <c r="H13" i="3" s="1"/>
  <c r="F82" i="2"/>
  <c r="G13" i="3" s="1"/>
  <c r="E82" i="2"/>
  <c r="F13" i="3" s="1"/>
  <c r="D82" i="2"/>
  <c r="E13" i="3" s="1"/>
  <c r="C82" i="2"/>
  <c r="D13" i="3" s="1"/>
  <c r="D14" i="3" s="1"/>
  <c r="E14" i="3" s="1"/>
  <c r="N82" i="1"/>
  <c r="O11" i="3" s="1"/>
  <c r="M82" i="1"/>
  <c r="N11" i="3" s="1"/>
  <c r="L82" i="1"/>
  <c r="M11" i="3" s="1"/>
  <c r="K82" i="1"/>
  <c r="L11" i="3" s="1"/>
  <c r="J82" i="1"/>
  <c r="K11" i="3" s="1"/>
  <c r="I82" i="1"/>
  <c r="J11" i="3" s="1"/>
  <c r="H82" i="1"/>
  <c r="I11" i="3" s="1"/>
  <c r="G82" i="1"/>
  <c r="H11" i="3" s="1"/>
  <c r="F82" i="1"/>
  <c r="G11" i="3" s="1"/>
  <c r="E82" i="1"/>
  <c r="F11" i="3" s="1"/>
  <c r="D82" i="1"/>
  <c r="E11" i="3" s="1"/>
  <c r="C82" i="1"/>
  <c r="D11" i="3" s="1"/>
  <c r="D12" i="3" s="1"/>
  <c r="F14" i="3" l="1"/>
  <c r="G14" i="3" s="1"/>
  <c r="H14" i="3" s="1"/>
  <c r="I14" i="3" s="1"/>
  <c r="J14" i="3" s="1"/>
  <c r="K14" i="3" s="1"/>
  <c r="L14" i="3" s="1"/>
  <c r="M14" i="3" s="1"/>
  <c r="N14" i="3" s="1"/>
  <c r="O14" i="3" s="1"/>
  <c r="E12" i="3"/>
  <c r="F12" i="3" s="1"/>
  <c r="G12" i="3" s="1"/>
  <c r="H12" i="3" s="1"/>
  <c r="I12" i="3" s="1"/>
  <c r="J12" i="3" s="1"/>
  <c r="K12" i="3" s="1"/>
  <c r="L12" i="3" s="1"/>
  <c r="M12" i="3" s="1"/>
  <c r="N12" i="3" s="1"/>
  <c r="O12" i="3" s="1"/>
</calcChain>
</file>

<file path=xl/sharedStrings.xml><?xml version="1.0" encoding="utf-8"?>
<sst xmlns="http://schemas.openxmlformats.org/spreadsheetml/2006/main" count="109" uniqueCount="73">
  <si>
    <t>Costos Planificados</t>
  </si>
  <si>
    <t>Código</t>
  </si>
  <si>
    <t>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</si>
  <si>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</si>
  <si>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</si>
  <si>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</si>
  <si>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</si>
  <si>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</si>
  <si>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</si>
  <si>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</si>
  <si>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</si>
  <si>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</si>
  <si>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</si>
  <si>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</si>
  <si>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</si>
  <si>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Entregable 1</t>
  </si>
  <si>
    <t>1.1.1.1</t>
  </si>
  <si>
    <t>Paquete de trabajo</t>
  </si>
  <si>
    <t>1.1.1.2</t>
  </si>
  <si>
    <t>1.1.1.3</t>
  </si>
  <si>
    <t>Entregable 2</t>
  </si>
  <si>
    <t>2.1.1.1</t>
  </si>
  <si>
    <t>2.1.1.2</t>
  </si>
  <si>
    <t>Entregable 3</t>
  </si>
  <si>
    <t>3.1.1.1</t>
  </si>
  <si>
    <t>Entregable 4</t>
  </si>
  <si>
    <t>4.1.1.1</t>
  </si>
  <si>
    <t>Entregable 5</t>
  </si>
  <si>
    <t>5.1.1.1</t>
  </si>
  <si>
    <t>Entregable 6</t>
  </si>
  <si>
    <t>6.1.1.1</t>
  </si>
  <si>
    <t>Entregable 7</t>
  </si>
  <si>
    <t>7.1.1.1</t>
  </si>
  <si>
    <t>TOTAL</t>
  </si>
  <si>
    <t>Costos Reales</t>
  </si>
  <si>
    <t>ENTREGABLE 1</t>
  </si>
  <si>
    <t>ENTREGABLE 2</t>
  </si>
  <si>
    <t>2.1.1.3</t>
  </si>
  <si>
    <t>ENTREGABLE 3</t>
  </si>
  <si>
    <t>3.1.1.2</t>
  </si>
  <si>
    <t>3.1.1.3</t>
  </si>
  <si>
    <t>ENTREGABLE 4</t>
  </si>
  <si>
    <t>4.1.1.2</t>
  </si>
  <si>
    <t>4.1.1.3</t>
  </si>
  <si>
    <t>ENTREGABLE 5</t>
  </si>
  <si>
    <t>5.1.1.2</t>
  </si>
  <si>
    <t>ENTREGABLE 6</t>
  </si>
  <si>
    <t>6.1.1.2</t>
  </si>
  <si>
    <t xml:space="preserve">Curva S </t>
  </si>
  <si>
    <t>Proyecto:</t>
  </si>
  <si>
    <t>ID:</t>
  </si>
  <si>
    <t>Fecha de Inicio</t>
  </si>
  <si>
    <t>Fecha Fin:</t>
  </si>
  <si>
    <t>Fecha de Corte: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</si>
  <si>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</si>
  <si>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</si>
  <si>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</si>
  <si>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</si>
  <si>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</si>
  <si>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</si>
  <si>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</si>
  <si>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</si>
  <si>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</si>
  <si>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</si>
  <si>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</si>
  <si>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</si>
  <si>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</si>
  <si>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Valor Planificado</t>
  </si>
  <si>
    <t>Valor Planificado Acumulado</t>
  </si>
  <si>
    <t>Costo Real</t>
  </si>
  <si>
    <t>Costo Real Acumulado</t>
  </si>
  <si>
    <t xml:space="preserve">estudio de proveedores realizo </t>
  </si>
  <si>
    <t xml:space="preserve">selección de proveedor  contratada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</si>
</sst>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/mm/yyyy"/>
    <numFmt numFmtId="166" formatCode="_-&quot;$&quot;* #,##0.00_-;\-&quot;$&quot;* #,##0.00_-;_-&quot;$&quot;* &quot;-&quot;??_-;_-@"/>
  </numFmts>
  <fonts count="23">
    <font>
      <sz val="11"/>
      <color theme="1"/>
      <name val="Calibri"/>
      <scheme val="minor"/>
    </font>
    <font>
      <b/>
      <sz val="16"/>
      <color theme="1"/>
      <name val="Corbel"/>
    </font>
    <font>
      <sz val="11"/>
      <name val="Calibri"/>
    </font>
    <font>
      <sz val="11"/>
      <color theme="1"/>
      <name val="Corbel"/>
    </font>
    <font>
      <b/>
      <sz val="12"/>
      <color rgb="FFFFFFFF"/>
      <name val="Corbel"/>
    </font>
    <font>
      <sz val="11"/>
      <color theme="0"/>
      <name val="Corbel"/>
    </font>
    <font>
      <b/>
      <sz val="10"/>
      <color theme="0"/>
      <name val="Corbel"/>
    </font>
    <font>
      <b/>
      <sz val="10"/>
      <color rgb="FFFFFFFF"/>
      <name val="Corbel"/>
    </font>
    <font>
      <sz val="11"/>
      <color theme="1"/>
      <name val="Corbel"/>
    </font>
    <font>
      <sz val="10"/>
      <color theme="1"/>
      <name val="Corbel"/>
    </font>
    <font>
      <b/>
      <i/>
      <sz val="10"/>
      <color theme="1"/>
      <name val="Corbel"/>
    </font>
    <font>
      <b/>
      <i/>
      <sz val="11"/>
      <color theme="1"/>
      <name val="Corbel"/>
    </font>
    <font>
      <b/>
      <sz val="10"/>
      <color theme="1"/>
      <name val="Corbel"/>
    </font>
    <font>
      <b/>
      <sz val="11"/>
      <color theme="1"/>
      <name val="Corbel"/>
    </font>
    <font>
      <sz val="11"/>
      <color theme="1"/>
      <name val="Calibri"/>
    </font>
    <font>
      <b/>
      <sz val="16"/>
      <color rgb="FFFFFFFF"/>
      <name val="Calibri"/>
    </font>
    <font>
      <b/>
      <sz val="11"/>
      <color theme="0"/>
      <name val="Calibri"/>
    </font>
    <font>
      <b/>
      <sz val="11"/>
      <name val="Corbel"/>
    </font>
    <font>
      <sz val="11"/>
      <name val="Corbel"/>
    </font>
    <font>
      <sz val="11"/>
      <name val="Calibri"/>
      <scheme val="minor"/>
    </font>
    <font>
      <b/>
      <sz val="10"/>
      <name val="Corbel"/>
    </font>
    <font>
      <b/>
      <sz val="12"/>
      <name val="Corbel"/>
    </font>
    <font>
      <sz val="10"/>
      <name val="Corbel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rgb="FFF9C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0"/>
      </patternFill>
    </fill>
    <fill>
      <patternFill patternType="solid">
        <fgColor rgb="FF92D050"/>
        <bgColor rgb="FFFF99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FF99"/>
        <bgColor rgb="FFD9D2E9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0"/>
      </patternFill>
    </fill>
    <fill>
      <patternFill patternType="solid">
        <fgColor rgb="FFFFCC99"/>
        <bgColor rgb="FFB4A7D6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theme="0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000000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 applyFont="1" applyAlignment="1"/>
    <xf numFmtId="0" fontId="3" fillId="2" borderId="4" xfId="0" applyFont="1" applyFill="1" applyBorder="1"/>
    <xf numFmtId="49" fontId="8" fillId="0" borderId="16" xfId="0" applyNumberFormat="1" applyFont="1" applyBorder="1"/>
    <xf numFmtId="0" fontId="9" fillId="0" borderId="16" xfId="0" applyFont="1" applyBorder="1" applyAlignment="1">
      <alignment vertical="top"/>
    </xf>
    <xf numFmtId="164" fontId="10" fillId="0" borderId="16" xfId="0" applyNumberFormat="1" applyFont="1" applyBorder="1" applyAlignment="1">
      <alignment horizontal="center" vertical="top"/>
    </xf>
    <xf numFmtId="164" fontId="10" fillId="0" borderId="16" xfId="0" applyNumberFormat="1" applyFont="1" applyBorder="1" applyAlignment="1">
      <alignment horizontal="center" vertical="top"/>
    </xf>
    <xf numFmtId="0" fontId="11" fillId="2" borderId="4" xfId="0" applyFont="1" applyFill="1" applyBorder="1"/>
    <xf numFmtId="49" fontId="8" fillId="0" borderId="17" xfId="0" applyNumberFormat="1" applyFont="1" applyBorder="1"/>
    <xf numFmtId="164" fontId="9" fillId="0" borderId="16" xfId="0" applyNumberFormat="1" applyFont="1" applyBorder="1" applyAlignment="1">
      <alignment horizontal="left" vertical="top"/>
    </xf>
    <xf numFmtId="164" fontId="9" fillId="0" borderId="16" xfId="0" applyNumberFormat="1" applyFont="1" applyBorder="1" applyAlignment="1">
      <alignment horizontal="center" vertical="top"/>
    </xf>
    <xf numFmtId="164" fontId="9" fillId="0" borderId="16" xfId="0" applyNumberFormat="1" applyFont="1" applyBorder="1" applyAlignment="1">
      <alignment horizontal="center" vertical="top" wrapText="1"/>
    </xf>
    <xf numFmtId="164" fontId="9" fillId="0" borderId="16" xfId="0" applyNumberFormat="1" applyFont="1" applyBorder="1" applyAlignment="1">
      <alignment vertical="top"/>
    </xf>
    <xf numFmtId="164" fontId="9" fillId="0" borderId="16" xfId="0" applyNumberFormat="1" applyFont="1" applyBorder="1" applyAlignment="1">
      <alignment vertical="top"/>
    </xf>
    <xf numFmtId="164" fontId="9" fillId="0" borderId="16" xfId="0" applyNumberFormat="1" applyFont="1" applyBorder="1" applyAlignment="1">
      <alignment horizontal="left" vertical="top"/>
    </xf>
    <xf numFmtId="164" fontId="9" fillId="0" borderId="16" xfId="0" applyNumberFormat="1" applyFont="1" applyBorder="1" applyAlignment="1">
      <alignment horizontal="center" vertical="top"/>
    </xf>
    <xf numFmtId="49" fontId="9" fillId="0" borderId="16" xfId="0" applyNumberFormat="1" applyFont="1" applyBorder="1" applyAlignment="1">
      <alignment horizontal="left" vertical="center"/>
    </xf>
    <xf numFmtId="164" fontId="9" fillId="0" borderId="16" xfId="0" applyNumberFormat="1" applyFont="1" applyBorder="1" applyAlignment="1">
      <alignment horizontal="center" vertical="top" wrapText="1"/>
    </xf>
    <xf numFmtId="49" fontId="10" fillId="0" borderId="16" xfId="0" applyNumberFormat="1" applyFont="1" applyBorder="1" applyAlignment="1">
      <alignment horizontal="left" vertical="center"/>
    </xf>
    <xf numFmtId="164" fontId="10" fillId="0" borderId="16" xfId="0" applyNumberFormat="1" applyFont="1" applyBorder="1" applyAlignment="1">
      <alignment horizontal="left" vertical="top"/>
    </xf>
    <xf numFmtId="164" fontId="10" fillId="0" borderId="16" xfId="0" applyNumberFormat="1" applyFont="1" applyBorder="1" applyAlignment="1">
      <alignment horizontal="center" vertical="top" wrapText="1"/>
    </xf>
    <xf numFmtId="164" fontId="10" fillId="0" borderId="16" xfId="0" applyNumberFormat="1" applyFont="1" applyBorder="1" applyAlignment="1">
      <alignment vertical="top"/>
    </xf>
    <xf numFmtId="0" fontId="9" fillId="0" borderId="16" xfId="0" applyFont="1" applyBorder="1" applyAlignment="1">
      <alignment horizontal="left" vertical="center"/>
    </xf>
    <xf numFmtId="164" fontId="9" fillId="0" borderId="16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center"/>
    </xf>
    <xf numFmtId="49" fontId="8" fillId="0" borderId="16" xfId="0" applyNumberFormat="1" applyFont="1" applyBorder="1" applyAlignment="1"/>
    <xf numFmtId="164" fontId="9" fillId="0" borderId="15" xfId="0" applyNumberFormat="1" applyFont="1" applyBorder="1" applyAlignment="1">
      <alignment horizontal="center" vertical="top"/>
    </xf>
    <xf numFmtId="0" fontId="9" fillId="0" borderId="14" xfId="0" applyFont="1" applyBorder="1" applyAlignment="1">
      <alignment horizontal="left" vertical="center"/>
    </xf>
    <xf numFmtId="164" fontId="9" fillId="0" borderId="16" xfId="0" applyNumberFormat="1" applyFont="1" applyBorder="1" applyAlignment="1">
      <alignment horizontal="left" vertical="top" wrapText="1"/>
    </xf>
    <xf numFmtId="164" fontId="10" fillId="0" borderId="16" xfId="0" applyNumberFormat="1" applyFont="1" applyBorder="1" applyAlignment="1">
      <alignment horizontal="left" vertical="top" wrapText="1"/>
    </xf>
    <xf numFmtId="164" fontId="9" fillId="0" borderId="18" xfId="0" applyNumberFormat="1" applyFont="1" applyBorder="1" applyAlignment="1">
      <alignment vertical="top"/>
    </xf>
    <xf numFmtId="0" fontId="3" fillId="2" borderId="12" xfId="0" applyFont="1" applyFill="1" applyBorder="1"/>
    <xf numFmtId="164" fontId="9" fillId="0" borderId="19" xfId="0" applyNumberFormat="1" applyFont="1" applyBorder="1" applyAlignment="1">
      <alignment horizontal="center" vertical="top"/>
    </xf>
    <xf numFmtId="164" fontId="9" fillId="0" borderId="19" xfId="0" applyNumberFormat="1" applyFont="1" applyBorder="1" applyAlignment="1">
      <alignment horizontal="center" vertical="top" wrapText="1"/>
    </xf>
    <xf numFmtId="164" fontId="9" fillId="0" borderId="19" xfId="0" applyNumberFormat="1" applyFont="1" applyBorder="1" applyAlignment="1">
      <alignment vertical="top"/>
    </xf>
    <xf numFmtId="164" fontId="9" fillId="0" borderId="19" xfId="0" applyNumberFormat="1" applyFont="1" applyBorder="1" applyAlignment="1">
      <alignment vertical="top"/>
    </xf>
    <xf numFmtId="164" fontId="9" fillId="0" borderId="20" xfId="0" applyNumberFormat="1" applyFont="1" applyBorder="1" applyAlignment="1">
      <alignment vertical="top"/>
    </xf>
    <xf numFmtId="49" fontId="9" fillId="0" borderId="19" xfId="0" applyNumberFormat="1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9" fillId="0" borderId="18" xfId="0" applyFont="1" applyBorder="1" applyAlignment="1">
      <alignment vertical="top"/>
    </xf>
    <xf numFmtId="49" fontId="10" fillId="0" borderId="19" xfId="0" applyNumberFormat="1" applyFont="1" applyBorder="1" applyAlignment="1">
      <alignment horizontal="left" vertical="center"/>
    </xf>
    <xf numFmtId="49" fontId="9" fillId="0" borderId="16" xfId="0" applyNumberFormat="1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49" fontId="9" fillId="0" borderId="21" xfId="0" applyNumberFormat="1" applyFont="1" applyBorder="1" applyAlignment="1">
      <alignment vertical="top"/>
    </xf>
    <xf numFmtId="0" fontId="9" fillId="0" borderId="21" xfId="0" applyFont="1" applyBorder="1" applyAlignment="1">
      <alignment vertical="top"/>
    </xf>
    <xf numFmtId="49" fontId="10" fillId="0" borderId="21" xfId="0" applyNumberFormat="1" applyFont="1" applyBorder="1" applyAlignment="1">
      <alignment vertical="top"/>
    </xf>
    <xf numFmtId="0" fontId="12" fillId="0" borderId="21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164" fontId="9" fillId="0" borderId="19" xfId="0" applyNumberFormat="1" applyFont="1" applyBorder="1" applyAlignment="1">
      <alignment horizontal="left" vertical="top" wrapText="1"/>
    </xf>
    <xf numFmtId="0" fontId="13" fillId="4" borderId="22" xfId="0" applyFont="1" applyFill="1" applyBorder="1" applyAlignment="1">
      <alignment horizontal="center"/>
    </xf>
    <xf numFmtId="164" fontId="3" fillId="4" borderId="22" xfId="0" applyNumberFormat="1" applyFont="1" applyFill="1" applyBorder="1"/>
    <xf numFmtId="49" fontId="14" fillId="2" borderId="4" xfId="0" applyNumberFormat="1" applyFont="1" applyFill="1" applyBorder="1"/>
    <xf numFmtId="0" fontId="3" fillId="2" borderId="23" xfId="0" applyFont="1" applyFill="1" applyBorder="1"/>
    <xf numFmtId="0" fontId="3" fillId="2" borderId="12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49" fontId="8" fillId="0" borderId="17" xfId="0" applyNumberFormat="1" applyFont="1" applyBorder="1" applyAlignment="1"/>
    <xf numFmtId="49" fontId="9" fillId="0" borderId="16" xfId="0" applyNumberFormat="1" applyFont="1" applyBorder="1" applyAlignment="1">
      <alignment horizontal="left" vertical="center" wrapText="1"/>
    </xf>
    <xf numFmtId="49" fontId="9" fillId="0" borderId="21" xfId="0" applyNumberFormat="1" applyFont="1" applyBorder="1" applyAlignment="1">
      <alignment vertical="top" wrapText="1"/>
    </xf>
    <xf numFmtId="0" fontId="14" fillId="2" borderId="7" xfId="0" applyFont="1" applyFill="1" applyBorder="1" applyAlignment="1">
      <alignment wrapText="1"/>
    </xf>
    <xf numFmtId="0" fontId="13" fillId="4" borderId="22" xfId="0" applyFont="1" applyFill="1" applyBorder="1" applyAlignment="1">
      <alignment horizontal="center" wrapText="1"/>
    </xf>
    <xf numFmtId="164" fontId="3" fillId="4" borderId="22" xfId="0" applyNumberFormat="1" applyFont="1" applyFill="1" applyBorder="1" applyAlignment="1">
      <alignment wrapText="1"/>
    </xf>
    <xf numFmtId="0" fontId="14" fillId="2" borderId="4" xfId="0" applyFont="1" applyFill="1" applyBorder="1" applyAlignment="1">
      <alignment wrapText="1"/>
    </xf>
    <xf numFmtId="0" fontId="3" fillId="2" borderId="23" xfId="0" applyFont="1" applyFill="1" applyBorder="1" applyAlignment="1">
      <alignment wrapText="1"/>
    </xf>
    <xf numFmtId="0" fontId="14" fillId="0" borderId="0" xfId="0" applyFont="1"/>
    <xf numFmtId="0" fontId="14" fillId="0" borderId="34" xfId="0" applyFont="1" applyBorder="1"/>
    <xf numFmtId="0" fontId="14" fillId="0" borderId="35" xfId="0" applyFont="1" applyBorder="1"/>
    <xf numFmtId="0" fontId="16" fillId="3" borderId="22" xfId="0" applyFont="1" applyFill="1" applyBorder="1" applyAlignment="1">
      <alignment horizontal="right"/>
    </xf>
    <xf numFmtId="0" fontId="14" fillId="0" borderId="36" xfId="0" applyFont="1" applyBorder="1" applyAlignment="1"/>
    <xf numFmtId="0" fontId="14" fillId="0" borderId="37" xfId="0" applyFont="1" applyBorder="1"/>
    <xf numFmtId="0" fontId="14" fillId="0" borderId="38" xfId="0" applyFont="1" applyBorder="1"/>
    <xf numFmtId="0" fontId="16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35" xfId="0" applyFont="1" applyBorder="1" applyAlignment="1">
      <alignment horizontal="left"/>
    </xf>
    <xf numFmtId="0" fontId="14" fillId="3" borderId="22" xfId="0" applyFont="1" applyFill="1" applyBorder="1"/>
    <xf numFmtId="0" fontId="16" fillId="3" borderId="22" xfId="0" applyFont="1" applyFill="1" applyBorder="1"/>
    <xf numFmtId="0" fontId="16" fillId="3" borderId="22" xfId="0" applyFont="1" applyFill="1" applyBorder="1" applyAlignment="1">
      <alignment horizontal="center"/>
    </xf>
    <xf numFmtId="166" fontId="14" fillId="0" borderId="22" xfId="0" applyNumberFormat="1" applyFont="1" applyBorder="1"/>
    <xf numFmtId="0" fontId="14" fillId="0" borderId="0" xfId="0" applyFont="1" applyAlignment="1">
      <alignment wrapText="1"/>
    </xf>
    <xf numFmtId="0" fontId="14" fillId="0" borderId="0" xfId="0" applyFont="1" applyAlignment="1">
      <alignment vertical="center"/>
    </xf>
    <xf numFmtId="9" fontId="14" fillId="0" borderId="0" xfId="0" applyNumberFormat="1" applyFont="1" applyAlignment="1">
      <alignment vertical="center"/>
    </xf>
    <xf numFmtId="0" fontId="14" fillId="0" borderId="40" xfId="0" applyFont="1" applyBorder="1"/>
    <xf numFmtId="0" fontId="14" fillId="0" borderId="41" xfId="0" applyFont="1" applyBorder="1"/>
    <xf numFmtId="0" fontId="14" fillId="0" borderId="42" xfId="0" applyFont="1" applyBorder="1"/>
    <xf numFmtId="0" fontId="3" fillId="7" borderId="4" xfId="0" applyFont="1" applyFill="1" applyBorder="1"/>
    <xf numFmtId="0" fontId="0" fillId="6" borderId="0" xfId="0" applyFont="1" applyFill="1" applyAlignment="1"/>
    <xf numFmtId="14" fontId="5" fillId="8" borderId="4" xfId="0" applyNumberFormat="1" applyFont="1" applyFill="1" applyBorder="1" applyAlignment="1">
      <alignment vertical="center"/>
    </xf>
    <xf numFmtId="0" fontId="3" fillId="10" borderId="4" xfId="0" applyFont="1" applyFill="1" applyBorder="1"/>
    <xf numFmtId="0" fontId="0" fillId="9" borderId="0" xfId="0" applyFont="1" applyFill="1" applyAlignment="1"/>
    <xf numFmtId="0" fontId="6" fillId="8" borderId="16" xfId="0" applyFont="1" applyFill="1" applyBorder="1" applyAlignment="1">
      <alignment horizontal="center" vertical="top"/>
    </xf>
    <xf numFmtId="49" fontId="17" fillId="8" borderId="13" xfId="0" applyNumberFormat="1" applyFont="1" applyFill="1" applyBorder="1" applyAlignment="1">
      <alignment horizontal="center" vertical="top"/>
    </xf>
    <xf numFmtId="0" fontId="17" fillId="8" borderId="13" xfId="0" applyFont="1" applyFill="1" applyBorder="1" applyAlignment="1">
      <alignment horizontal="center" vertical="top"/>
    </xf>
    <xf numFmtId="0" fontId="17" fillId="8" borderId="4" xfId="0" applyFont="1" applyFill="1" applyBorder="1" applyAlignment="1">
      <alignment horizontal="center" vertical="top"/>
    </xf>
    <xf numFmtId="0" fontId="18" fillId="10" borderId="4" xfId="0" applyFont="1" applyFill="1" applyBorder="1"/>
    <xf numFmtId="0" fontId="19" fillId="9" borderId="0" xfId="0" applyFont="1" applyFill="1" applyAlignment="1"/>
    <xf numFmtId="0" fontId="20" fillId="8" borderId="16" xfId="0" applyFont="1" applyFill="1" applyBorder="1" applyAlignment="1">
      <alignment horizontal="center" vertical="top"/>
    </xf>
    <xf numFmtId="0" fontId="6" fillId="8" borderId="18" xfId="0" applyFont="1" applyFill="1" applyBorder="1" applyAlignment="1">
      <alignment horizontal="center" vertical="top"/>
    </xf>
    <xf numFmtId="0" fontId="3" fillId="10" borderId="12" xfId="0" applyFont="1" applyFill="1" applyBorder="1"/>
    <xf numFmtId="0" fontId="20" fillId="8" borderId="18" xfId="0" applyFont="1" applyFill="1" applyBorder="1" applyAlignment="1">
      <alignment horizontal="center" vertical="top"/>
    </xf>
    <xf numFmtId="0" fontId="18" fillId="10" borderId="12" xfId="0" applyFont="1" applyFill="1" applyBorder="1"/>
    <xf numFmtId="0" fontId="3" fillId="13" borderId="12" xfId="0" applyFont="1" applyFill="1" applyBorder="1" applyAlignment="1">
      <alignment wrapText="1"/>
    </xf>
    <xf numFmtId="0" fontId="3" fillId="13" borderId="4" xfId="0" applyFont="1" applyFill="1" applyBorder="1" applyAlignment="1">
      <alignment wrapText="1"/>
    </xf>
    <xf numFmtId="0" fontId="0" fillId="12" borderId="0" xfId="0" applyFont="1" applyFill="1" applyAlignment="1"/>
    <xf numFmtId="0" fontId="3" fillId="16" borderId="4" xfId="0" applyFont="1" applyFill="1" applyBorder="1" applyAlignment="1">
      <alignment wrapText="1"/>
    </xf>
    <xf numFmtId="0" fontId="0" fillId="15" borderId="0" xfId="0" applyFont="1" applyFill="1" applyAlignment="1"/>
    <xf numFmtId="164" fontId="9" fillId="14" borderId="16" xfId="0" applyNumberFormat="1" applyFont="1" applyFill="1" applyBorder="1" applyAlignment="1">
      <alignment horizontal="center" vertical="top" wrapText="1"/>
    </xf>
    <xf numFmtId="0" fontId="7" fillId="14" borderId="16" xfId="0" applyFont="1" applyFill="1" applyBorder="1" applyAlignment="1">
      <alignment horizontal="center" vertical="top" wrapText="1"/>
    </xf>
    <xf numFmtId="14" fontId="18" fillId="14" borderId="23" xfId="0" applyNumberFormat="1" applyFont="1" applyFill="1" applyBorder="1" applyAlignment="1">
      <alignment vertical="center" wrapText="1"/>
    </xf>
    <xf numFmtId="0" fontId="18" fillId="16" borderId="4" xfId="0" applyFont="1" applyFill="1" applyBorder="1" applyAlignment="1">
      <alignment wrapText="1"/>
    </xf>
    <xf numFmtId="0" fontId="19" fillId="15" borderId="0" xfId="0" applyFont="1" applyFill="1" applyAlignment="1"/>
    <xf numFmtId="0" fontId="17" fillId="14" borderId="13" xfId="0" applyFont="1" applyFill="1" applyBorder="1" applyAlignment="1">
      <alignment horizontal="center" vertical="top" wrapText="1"/>
    </xf>
    <xf numFmtId="0" fontId="17" fillId="14" borderId="4" xfId="0" applyFont="1" applyFill="1" applyBorder="1" applyAlignment="1">
      <alignment horizontal="center" vertical="top" wrapText="1"/>
    </xf>
    <xf numFmtId="0" fontId="20" fillId="14" borderId="16" xfId="0" applyFont="1" applyFill="1" applyBorder="1" applyAlignment="1">
      <alignment horizontal="center" vertical="top" wrapText="1"/>
    </xf>
    <xf numFmtId="164" fontId="22" fillId="14" borderId="16" xfId="0" applyNumberFormat="1" applyFont="1" applyFill="1" applyBorder="1" applyAlignment="1">
      <alignment horizontal="center" vertical="top" wrapText="1"/>
    </xf>
    <xf numFmtId="49" fontId="20" fillId="8" borderId="14" xfId="0" applyNumberFormat="1" applyFont="1" applyFill="1" applyBorder="1" applyAlignment="1">
      <alignment horizontal="center" vertical="center"/>
    </xf>
    <xf numFmtId="0" fontId="2" fillId="9" borderId="15" xfId="0" applyFont="1" applyFill="1" applyBorder="1"/>
    <xf numFmtId="49" fontId="7" fillId="8" borderId="14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/>
    <xf numFmtId="0" fontId="2" fillId="6" borderId="3" xfId="0" applyFont="1" applyFill="1" applyBorder="1"/>
    <xf numFmtId="0" fontId="2" fillId="6" borderId="5" xfId="0" applyFont="1" applyFill="1" applyBorder="1"/>
    <xf numFmtId="0" fontId="0" fillId="6" borderId="0" xfId="0" applyFont="1" applyFill="1" applyAlignment="1"/>
    <xf numFmtId="0" fontId="2" fillId="6" borderId="6" xfId="0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0" fontId="2" fillId="6" borderId="9" xfId="0" applyFont="1" applyFill="1" applyBorder="1"/>
    <xf numFmtId="49" fontId="4" fillId="8" borderId="10" xfId="0" applyNumberFormat="1" applyFont="1" applyFill="1" applyBorder="1" applyAlignment="1">
      <alignment horizontal="center" vertical="center"/>
    </xf>
    <xf numFmtId="0" fontId="2" fillId="9" borderId="11" xfId="0" applyFont="1" applyFill="1" applyBorder="1"/>
    <xf numFmtId="0" fontId="2" fillId="9" borderId="12" xfId="0" applyFont="1" applyFill="1" applyBorder="1"/>
    <xf numFmtId="49" fontId="20" fillId="8" borderId="14" xfId="0" applyNumberFormat="1" applyFont="1" applyFill="1" applyBorder="1" applyAlignment="1">
      <alignment horizontal="right" vertical="center"/>
    </xf>
    <xf numFmtId="0" fontId="1" fillId="11" borderId="24" xfId="0" applyFont="1" applyFill="1" applyBorder="1" applyAlignment="1">
      <alignment horizontal="center" vertical="center" wrapText="1"/>
    </xf>
    <xf numFmtId="0" fontId="2" fillId="12" borderId="25" xfId="0" applyFont="1" applyFill="1" applyBorder="1"/>
    <xf numFmtId="0" fontId="2" fillId="12" borderId="26" xfId="0" applyFont="1" applyFill="1" applyBorder="1"/>
    <xf numFmtId="0" fontId="2" fillId="12" borderId="27" xfId="0" applyFont="1" applyFill="1" applyBorder="1"/>
    <xf numFmtId="0" fontId="0" fillId="12" borderId="0" xfId="0" applyFont="1" applyFill="1" applyAlignment="1"/>
    <xf numFmtId="0" fontId="2" fillId="12" borderId="28" xfId="0" applyFont="1" applyFill="1" applyBorder="1"/>
    <xf numFmtId="0" fontId="2" fillId="12" borderId="29" xfId="0" applyFont="1" applyFill="1" applyBorder="1"/>
    <xf numFmtId="0" fontId="2" fillId="12" borderId="30" xfId="0" applyFont="1" applyFill="1" applyBorder="1"/>
    <xf numFmtId="0" fontId="2" fillId="12" borderId="31" xfId="0" applyFont="1" applyFill="1" applyBorder="1"/>
    <xf numFmtId="0" fontId="21" fillId="14" borderId="7" xfId="0" applyFont="1" applyFill="1" applyBorder="1" applyAlignment="1">
      <alignment horizontal="center" vertical="center" wrapText="1"/>
    </xf>
    <xf numFmtId="0" fontId="2" fillId="15" borderId="8" xfId="0" applyFont="1" applyFill="1" applyBorder="1"/>
    <xf numFmtId="0" fontId="2" fillId="15" borderId="9" xfId="0" applyFont="1" applyFill="1" applyBorder="1"/>
    <xf numFmtId="0" fontId="20" fillId="14" borderId="14" xfId="0" applyFont="1" applyFill="1" applyBorder="1" applyAlignment="1">
      <alignment horizontal="right" vertical="center" wrapText="1"/>
    </xf>
    <xf numFmtId="0" fontId="2" fillId="15" borderId="15" xfId="0" applyFont="1" applyFill="1" applyBorder="1"/>
    <xf numFmtId="0" fontId="16" fillId="3" borderId="36" xfId="0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0" fontId="15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33" xfId="0" applyFont="1" applyBorder="1"/>
    <xf numFmtId="0" fontId="14" fillId="0" borderId="36" xfId="0" applyFont="1" applyBorder="1" applyAlignment="1">
      <alignment horizontal="left"/>
    </xf>
    <xf numFmtId="14" fontId="14" fillId="0" borderId="36" xfId="0" applyNumberFormat="1" applyFont="1" applyBorder="1" applyAlignment="1">
      <alignment horizontal="left"/>
    </xf>
    <xf numFmtId="0" fontId="2" fillId="0" borderId="39" xfId="0" applyFont="1" applyBorder="1"/>
    <xf numFmtId="0" fontId="16" fillId="3" borderId="36" xfId="0" applyFont="1" applyFill="1" applyBorder="1" applyAlignment="1">
      <alignment horizontal="right"/>
    </xf>
    <xf numFmtId="165" fontId="14" fillId="0" borderId="3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1"/>
        <c:ser>
          <c:idx val="0"/>
          <c:order val="0"/>
          <c:tx>
            <c:v>Valor Planificado Acumulado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'Curva S'!$D$10:$O$10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'Curva S'!$D$12:$O$12</c:f>
              <c:numCache>
                <c:formatCode>_-"$"* #,##0.00_-;\-"$"* #,##0.00_-;_-"$"*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1000000</c:v>
                </c:pt>
                <c:pt idx="3">
                  <c:v>1700000</c:v>
                </c:pt>
                <c:pt idx="4">
                  <c:v>2900000</c:v>
                </c:pt>
                <c:pt idx="5">
                  <c:v>3500000</c:v>
                </c:pt>
                <c:pt idx="6">
                  <c:v>4100000</c:v>
                </c:pt>
                <c:pt idx="7">
                  <c:v>4100000</c:v>
                </c:pt>
                <c:pt idx="8">
                  <c:v>4100000</c:v>
                </c:pt>
                <c:pt idx="9">
                  <c:v>4100000</c:v>
                </c:pt>
                <c:pt idx="10">
                  <c:v>4100000</c:v>
                </c:pt>
                <c:pt idx="11">
                  <c:v>4100000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1-42A3-9CEA-C3A9E7B73845}"/>
            </c:ext>
          </c:extLst>
        </c:ser>
        <c:ser>
          <c:idx val="1"/>
          <c:order val="1"/>
          <c:tx>
            <c:v>Costo Real Acumulado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'Curva S'!$D$10:$O$10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'Curva S'!$D$14:$O$14</c:f>
              <c:numCache>
                <c:formatCode>_-"$"* #,##0.00_-;\-"$"* #,##0.00_-;_-"$"*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1000000</c:v>
                </c:pt>
                <c:pt idx="3">
                  <c:v>1950000</c:v>
                </c:pt>
                <c:pt idx="4">
                  <c:v>3200000</c:v>
                </c:pt>
                <c:pt idx="5">
                  <c:v>3650000</c:v>
                </c:pt>
                <c:pt idx="6">
                  <c:v>4250000</c:v>
                </c:pt>
                <c:pt idx="7">
                  <c:v>4250000</c:v>
                </c:pt>
                <c:pt idx="8">
                  <c:v>4250000</c:v>
                </c:pt>
                <c:pt idx="9">
                  <c:v>4250000</c:v>
                </c:pt>
                <c:pt idx="10">
                  <c:v>4250000</c:v>
                </c:pt>
                <c:pt idx="11">
                  <c:v>4250000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1-42A3-9CEA-C3A9E7B73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2705"/>
        <c:axId val="1234845353"/>
      </c:lineChart>
      <c:catAx>
        <c:axId val="11382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234845353"/>
        <c:crosses val="autoZero"/>
        <c:auto val="1"/>
        <c:lblAlgn val="ctr"/>
        <c:lblOffset val="100"/>
        <c:noMultiLvlLbl val="1"/>
      </c:catAx>
      <c:valAx>
        <c:axId val="1234845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_-&quot;$&quot;* #,##0.00_-;\-&quot;$&quot;* #,##0.00_-;_-&quot;$&quot;* &quot;-&quot;??_-;_-@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13827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742950</xdr:colOff>
      <xdr:row>14</xdr:row>
      <xdr:rowOff>142875</xdr:rowOff>
    </xdr:from>
    <xdr:ext cx="8753475" cy="46863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6"/>
  <sheetViews>
    <sheetView tabSelected="1" workbookViewId="0">
      <pane ySplit="6" topLeftCell="A7" activePane="bottomLeft" state="frozen"/>
      <selection pane="bottomLeft" activeCell="A18" sqref="A18:XFD18"/>
    </sheetView>
  </sheetViews>
  <sheetFormatPr baseColWidth="10" defaultColWidth="14.42578125" defaultRowHeight="15" customHeight="1"/>
  <cols>
    <col min="1" max="1" width="7.85546875" customWidth="1"/>
    <col min="2" max="2" width="68.85546875" customWidth="1"/>
    <col min="3" max="3" width="13" customWidth="1"/>
    <col min="4" max="4" width="13.140625" customWidth="1"/>
    <col min="5" max="5" width="15" customWidth="1"/>
    <col min="6" max="6" width="12.28515625" customWidth="1"/>
    <col min="7" max="7" width="15.28515625" customWidth="1"/>
    <col min="8" max="8" width="13" customWidth="1"/>
    <col min="9" max="9" width="14" customWidth="1"/>
    <col min="10" max="10" width="13.42578125" customWidth="1"/>
    <col min="11" max="11" width="12.7109375" customWidth="1"/>
    <col min="12" max="12" width="13.5703125" customWidth="1"/>
    <col min="13" max="13" width="12.85546875" customWidth="1"/>
    <col min="14" max="14" width="10.42578125" customWidth="1"/>
    <col min="15" max="26" width="11.42578125" customWidth="1"/>
  </cols>
  <sheetData>
    <row r="1" spans="1:26" s="84" customFormat="1">
      <c r="A1" s="116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8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s="84" customForma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s="84" customFormat="1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4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s="87" customFormat="1" ht="21.75" customHeight="1">
      <c r="A4" s="125"/>
      <c r="B4" s="126"/>
      <c r="C4" s="126"/>
      <c r="D4" s="127"/>
      <c r="E4" s="85"/>
      <c r="F4" s="85"/>
      <c r="G4" s="85"/>
      <c r="H4" s="85"/>
      <c r="I4" s="85"/>
      <c r="J4" s="85"/>
      <c r="K4" s="85"/>
      <c r="L4" s="85"/>
      <c r="M4" s="85"/>
      <c r="N4" s="85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s="93" customFormat="1">
      <c r="A5" s="89" t="s">
        <v>1</v>
      </c>
      <c r="B5" s="90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 s="93" customFormat="1">
      <c r="A6" s="128" t="s">
        <v>2</v>
      </c>
      <c r="B6" s="114"/>
      <c r="C6" s="94" t="s">
        <v>3</v>
      </c>
      <c r="D6" s="94" t="s">
        <v>4</v>
      </c>
      <c r="E6" s="94" t="s">
        <v>5</v>
      </c>
      <c r="F6" s="94" t="s">
        <v>6</v>
      </c>
      <c r="G6" s="94" t="s">
        <v>7</v>
      </c>
      <c r="H6" s="94" t="s">
        <v>8</v>
      </c>
      <c r="I6" s="94" t="s">
        <v>9</v>
      </c>
      <c r="J6" s="94" t="s">
        <v>10</v>
      </c>
      <c r="K6" s="94" t="s">
        <v>11</v>
      </c>
      <c r="L6" s="94" t="s">
        <v>12</v>
      </c>
      <c r="M6" s="94" t="s">
        <v>13</v>
      </c>
      <c r="N6" s="94" t="s">
        <v>14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 s="93" customFormat="1" ht="18" customHeight="1">
      <c r="A7" s="113" t="s">
        <v>15</v>
      </c>
      <c r="B7" s="11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A8" s="2" t="s">
        <v>16</v>
      </c>
      <c r="B8" s="3" t="s">
        <v>71</v>
      </c>
      <c r="C8" s="4"/>
      <c r="D8" s="4"/>
      <c r="E8" s="5">
        <v>1000000</v>
      </c>
      <c r="F8" s="5">
        <v>700000</v>
      </c>
      <c r="G8" s="5">
        <v>1200000</v>
      </c>
      <c r="H8" s="5"/>
      <c r="I8" s="5"/>
      <c r="J8" s="5"/>
      <c r="K8" s="5"/>
      <c r="L8" s="5"/>
      <c r="M8" s="5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7" t="s">
        <v>18</v>
      </c>
      <c r="B9" s="8" t="s">
        <v>72</v>
      </c>
      <c r="C9" s="9"/>
      <c r="D9" s="10"/>
      <c r="E9" s="9"/>
      <c r="F9" s="11"/>
      <c r="G9" s="12"/>
      <c r="H9" s="12">
        <v>600000</v>
      </c>
      <c r="I9" s="12">
        <v>600000</v>
      </c>
      <c r="J9" s="12"/>
      <c r="K9" s="12"/>
      <c r="L9" s="12"/>
      <c r="M9" s="12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 t="s">
        <v>19</v>
      </c>
      <c r="B10" s="8"/>
      <c r="C10" s="9"/>
      <c r="D10" s="10"/>
      <c r="E10" s="9"/>
      <c r="F10" s="11"/>
      <c r="G10" s="11"/>
      <c r="H10" s="11"/>
      <c r="I10" s="11"/>
      <c r="J10" s="12"/>
      <c r="K10" s="12"/>
      <c r="L10" s="12"/>
      <c r="M10" s="12"/>
      <c r="N10" s="1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"/>
      <c r="B11" s="13"/>
      <c r="C11" s="14"/>
      <c r="D11" s="10"/>
      <c r="E11" s="9"/>
      <c r="F11" s="11"/>
      <c r="G11" s="11"/>
      <c r="H11" s="12"/>
      <c r="I11" s="12"/>
      <c r="J11" s="12"/>
      <c r="K11" s="12"/>
      <c r="L11" s="12"/>
      <c r="M11" s="12"/>
      <c r="N11" s="1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5"/>
      <c r="B12" s="13"/>
      <c r="C12" s="14"/>
      <c r="D12" s="16"/>
      <c r="E12" s="9"/>
      <c r="F12" s="11"/>
      <c r="G12" s="11"/>
      <c r="H12" s="12"/>
      <c r="I12" s="12"/>
      <c r="J12" s="12"/>
      <c r="K12" s="12"/>
      <c r="L12" s="12"/>
      <c r="M12" s="12"/>
      <c r="N12" s="1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5"/>
      <c r="B13" s="8"/>
      <c r="C13" s="14"/>
      <c r="D13" s="16"/>
      <c r="E13" s="9"/>
      <c r="F13" s="11"/>
      <c r="G13" s="11"/>
      <c r="H13" s="12"/>
      <c r="I13" s="12"/>
      <c r="J13" s="12"/>
      <c r="K13" s="12"/>
      <c r="L13" s="12"/>
      <c r="M13" s="12"/>
      <c r="N13" s="1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5"/>
      <c r="B14" s="8"/>
      <c r="C14" s="14"/>
      <c r="D14" s="16"/>
      <c r="E14" s="14"/>
      <c r="F14" s="11"/>
      <c r="G14" s="12"/>
      <c r="H14" s="11"/>
      <c r="I14" s="12"/>
      <c r="J14" s="12"/>
      <c r="K14" s="12"/>
      <c r="L14" s="12"/>
      <c r="M14" s="12"/>
      <c r="N14" s="1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7"/>
      <c r="B15" s="18"/>
      <c r="C15" s="5"/>
      <c r="D15" s="19"/>
      <c r="E15" s="4"/>
      <c r="F15" s="20"/>
      <c r="G15" s="20"/>
      <c r="H15" s="20"/>
      <c r="I15" s="20"/>
      <c r="J15" s="20"/>
      <c r="K15" s="20"/>
      <c r="L15" s="20"/>
      <c r="M15" s="20"/>
      <c r="N15" s="20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15"/>
      <c r="B16" s="8"/>
      <c r="C16" s="14"/>
      <c r="D16" s="16"/>
      <c r="E16" s="9"/>
      <c r="F16" s="12"/>
      <c r="G16" s="12"/>
      <c r="H16" s="12"/>
      <c r="I16" s="12"/>
      <c r="J16" s="12"/>
      <c r="K16" s="12"/>
      <c r="L16" s="12"/>
      <c r="M16" s="12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/>
      <c r="B17" s="8"/>
      <c r="C17" s="14"/>
      <c r="D17" s="16"/>
      <c r="E17" s="9"/>
      <c r="F17" s="12"/>
      <c r="G17" s="12"/>
      <c r="H17" s="12"/>
      <c r="I17" s="12"/>
      <c r="J17" s="12"/>
      <c r="K17" s="12"/>
      <c r="L17" s="12"/>
      <c r="M17" s="12"/>
      <c r="N17" s="1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93" customFormat="1" ht="18" customHeight="1">
      <c r="A18" s="113" t="s">
        <v>20</v>
      </c>
      <c r="B18" s="11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 ht="15.75" customHeight="1">
      <c r="A19" s="2" t="s">
        <v>21</v>
      </c>
      <c r="B19" s="3" t="s">
        <v>17</v>
      </c>
      <c r="C19" s="9"/>
      <c r="D19" s="21"/>
      <c r="E19" s="14"/>
      <c r="F19" s="12"/>
      <c r="G19" s="12"/>
      <c r="H19" s="12"/>
      <c r="I19" s="12"/>
      <c r="J19" s="12"/>
      <c r="K19" s="12"/>
      <c r="L19" s="12"/>
      <c r="M19" s="12"/>
      <c r="N19" s="1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7" t="s">
        <v>22</v>
      </c>
      <c r="B20" s="8"/>
      <c r="C20" s="9"/>
      <c r="D20" s="21"/>
      <c r="E20" s="14"/>
      <c r="F20" s="12"/>
      <c r="G20" s="12"/>
      <c r="H20" s="12"/>
      <c r="I20" s="12"/>
      <c r="J20" s="12"/>
      <c r="K20" s="12"/>
      <c r="L20" s="12"/>
      <c r="M20" s="12"/>
      <c r="N20" s="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"/>
      <c r="B21" s="8"/>
      <c r="C21" s="14"/>
      <c r="D21" s="9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7"/>
      <c r="B22" s="8"/>
      <c r="C22" s="14"/>
      <c r="D22" s="9"/>
      <c r="E22" s="9"/>
      <c r="F22" s="12"/>
      <c r="G22" s="12"/>
      <c r="H22" s="12"/>
      <c r="I22" s="12"/>
      <c r="J22" s="12"/>
      <c r="K22" s="12"/>
      <c r="L22" s="12"/>
      <c r="M22" s="12"/>
      <c r="N22" s="1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"/>
      <c r="B23" s="18"/>
      <c r="C23" s="14"/>
      <c r="D23" s="21"/>
      <c r="E23" s="14"/>
      <c r="F23" s="12"/>
      <c r="G23" s="12"/>
      <c r="H23" s="12"/>
      <c r="I23" s="12"/>
      <c r="J23" s="12"/>
      <c r="K23" s="12"/>
      <c r="L23" s="12"/>
      <c r="M23" s="12"/>
      <c r="N23" s="1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"/>
      <c r="B24" s="22"/>
      <c r="C24" s="14"/>
      <c r="D24" s="9"/>
      <c r="E24" s="9"/>
      <c r="F24" s="12"/>
      <c r="G24" s="12"/>
      <c r="H24" s="12"/>
      <c r="I24" s="12"/>
      <c r="J24" s="12"/>
      <c r="K24" s="12"/>
      <c r="L24" s="12"/>
      <c r="M24" s="12"/>
      <c r="N24" s="1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"/>
      <c r="B25" s="8"/>
      <c r="C25" s="9"/>
      <c r="D25" s="23"/>
      <c r="E25" s="9"/>
      <c r="F25" s="11"/>
      <c r="G25" s="11"/>
      <c r="H25" s="11"/>
      <c r="I25" s="12"/>
      <c r="J25" s="12"/>
      <c r="K25" s="12"/>
      <c r="L25" s="12"/>
      <c r="M25" s="12"/>
      <c r="N25" s="1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14"/>
      <c r="D26" s="21"/>
      <c r="E26" s="9"/>
      <c r="F26" s="11"/>
      <c r="G26" s="11"/>
      <c r="H26" s="11"/>
      <c r="I26" s="12"/>
      <c r="J26" s="12"/>
      <c r="K26" s="12"/>
      <c r="L26" s="12"/>
      <c r="M26" s="12"/>
      <c r="N26" s="1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18"/>
      <c r="C27" s="9"/>
      <c r="D27" s="21"/>
      <c r="E27" s="14"/>
      <c r="F27" s="11"/>
      <c r="G27" s="12"/>
      <c r="H27" s="12"/>
      <c r="I27" s="12"/>
      <c r="J27" s="12"/>
      <c r="K27" s="12"/>
      <c r="L27" s="12"/>
      <c r="M27" s="12"/>
      <c r="N27" s="1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7"/>
      <c r="B28" s="22"/>
      <c r="C28" s="14"/>
      <c r="D28" s="21"/>
      <c r="E28" s="9"/>
      <c r="F28" s="11"/>
      <c r="G28" s="11"/>
      <c r="H28" s="11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7"/>
      <c r="B29" s="8"/>
      <c r="C29" s="14"/>
      <c r="D29" s="9"/>
      <c r="E29" s="14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14"/>
      <c r="D30" s="21"/>
      <c r="E30" s="9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s="93" customFormat="1" ht="15.75" customHeight="1">
      <c r="A31" s="113" t="s">
        <v>23</v>
      </c>
      <c r="B31" s="11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 ht="15.75" customHeight="1">
      <c r="A32" s="24" t="s">
        <v>24</v>
      </c>
      <c r="B32" s="3" t="s">
        <v>17</v>
      </c>
      <c r="C32" s="25"/>
      <c r="D32" s="26"/>
      <c r="E32" s="9"/>
      <c r="F32" s="12"/>
      <c r="G32" s="12"/>
      <c r="H32" s="12"/>
      <c r="I32" s="12"/>
      <c r="J32" s="12"/>
      <c r="K32" s="12"/>
      <c r="L32" s="12"/>
      <c r="M32" s="12"/>
      <c r="N32" s="1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5"/>
      <c r="B33" s="22"/>
      <c r="C33" s="25"/>
      <c r="D33" s="26"/>
      <c r="E33" s="9"/>
      <c r="F33" s="12"/>
      <c r="G33" s="12"/>
      <c r="H33" s="12"/>
      <c r="I33" s="12"/>
      <c r="J33" s="12"/>
      <c r="K33" s="12"/>
      <c r="L33" s="12"/>
      <c r="M33" s="12"/>
      <c r="N33" s="1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5"/>
      <c r="B34" s="27"/>
      <c r="C34" s="25"/>
      <c r="D34" s="26"/>
      <c r="E34" s="9"/>
      <c r="F34" s="12"/>
      <c r="G34" s="12"/>
      <c r="H34" s="12"/>
      <c r="I34" s="12"/>
      <c r="J34" s="12"/>
      <c r="K34" s="12"/>
      <c r="L34" s="12"/>
      <c r="M34" s="12"/>
      <c r="N34" s="1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5"/>
      <c r="B35" s="27"/>
      <c r="C35" s="25"/>
      <c r="D35" s="26"/>
      <c r="E35" s="14"/>
      <c r="F35" s="11"/>
      <c r="G35" s="11"/>
      <c r="H35" s="12"/>
      <c r="I35" s="12"/>
      <c r="J35" s="12"/>
      <c r="K35" s="12"/>
      <c r="L35" s="12"/>
      <c r="M35" s="12"/>
      <c r="N35" s="1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5"/>
      <c r="B36" s="27"/>
      <c r="C36" s="25"/>
      <c r="D36" s="26"/>
      <c r="E36" s="14"/>
      <c r="F36" s="11"/>
      <c r="G36" s="11"/>
      <c r="H36" s="12"/>
      <c r="I36" s="12"/>
      <c r="J36" s="12"/>
      <c r="K36" s="12"/>
      <c r="L36" s="12"/>
      <c r="M36" s="12"/>
      <c r="N36" s="1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5"/>
      <c r="B37" s="22"/>
      <c r="C37" s="16"/>
      <c r="D37" s="26"/>
      <c r="E37" s="14"/>
      <c r="F37" s="12"/>
      <c r="G37" s="11"/>
      <c r="H37" s="12"/>
      <c r="I37" s="12"/>
      <c r="J37" s="12"/>
      <c r="K37" s="12"/>
      <c r="L37" s="12"/>
      <c r="M37" s="12"/>
      <c r="N37" s="1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7"/>
      <c r="B38" s="28"/>
      <c r="C38" s="25"/>
      <c r="D38" s="26"/>
      <c r="E38" s="14"/>
      <c r="F38" s="12"/>
      <c r="G38" s="12"/>
      <c r="H38" s="12"/>
      <c r="I38" s="12"/>
      <c r="J38" s="12"/>
      <c r="K38" s="12"/>
      <c r="L38" s="12"/>
      <c r="M38" s="12"/>
      <c r="N38" s="1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5"/>
      <c r="B39" s="22"/>
      <c r="C39" s="25"/>
      <c r="D39" s="26"/>
      <c r="E39" s="14"/>
      <c r="F39" s="12"/>
      <c r="G39" s="12"/>
      <c r="H39" s="11"/>
      <c r="I39" s="12"/>
      <c r="J39" s="12"/>
      <c r="K39" s="12"/>
      <c r="L39" s="12"/>
      <c r="M39" s="12"/>
      <c r="N39" s="1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5"/>
      <c r="B40" s="22"/>
      <c r="C40" s="25"/>
      <c r="D40" s="16"/>
      <c r="E40" s="14"/>
      <c r="F40" s="12"/>
      <c r="G40" s="12"/>
      <c r="H40" s="12"/>
      <c r="I40" s="11"/>
      <c r="J40" s="11"/>
      <c r="K40" s="12"/>
      <c r="L40" s="12"/>
      <c r="M40" s="12"/>
      <c r="N40" s="1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5"/>
      <c r="B41" s="27"/>
      <c r="C41" s="25"/>
      <c r="D41" s="16"/>
      <c r="E41" s="14"/>
      <c r="F41" s="12"/>
      <c r="G41" s="12"/>
      <c r="H41" s="12"/>
      <c r="I41" s="11"/>
      <c r="J41" s="11"/>
      <c r="K41" s="12"/>
      <c r="L41" s="12"/>
      <c r="M41" s="12"/>
      <c r="N41" s="1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5"/>
      <c r="B42" s="27"/>
      <c r="C42" s="25"/>
      <c r="D42" s="16"/>
      <c r="E42" s="14"/>
      <c r="F42" s="12"/>
      <c r="G42" s="12"/>
      <c r="H42" s="12"/>
      <c r="I42" s="12"/>
      <c r="J42" s="11"/>
      <c r="K42" s="12"/>
      <c r="L42" s="12"/>
      <c r="M42" s="12"/>
      <c r="N42" s="1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5"/>
      <c r="B43" s="22"/>
      <c r="C43" s="25"/>
      <c r="D43" s="16"/>
      <c r="E43" s="14"/>
      <c r="F43" s="12"/>
      <c r="G43" s="12"/>
      <c r="H43" s="12"/>
      <c r="I43" s="12"/>
      <c r="J43" s="11"/>
      <c r="K43" s="11"/>
      <c r="L43" s="12"/>
      <c r="M43" s="12"/>
      <c r="N43" s="1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7"/>
      <c r="B44" s="28"/>
      <c r="C44" s="25"/>
      <c r="D44" s="16"/>
      <c r="E44" s="14"/>
      <c r="F44" s="12"/>
      <c r="G44" s="12"/>
      <c r="H44" s="12"/>
      <c r="I44" s="11"/>
      <c r="J44" s="11"/>
      <c r="K44" s="11"/>
      <c r="L44" s="11"/>
      <c r="M44" s="12"/>
      <c r="N44" s="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5"/>
      <c r="B45" s="22"/>
      <c r="C45" s="25"/>
      <c r="D45" s="16"/>
      <c r="E45" s="14"/>
      <c r="F45" s="12"/>
      <c r="G45" s="12"/>
      <c r="H45" s="11"/>
      <c r="I45" s="12"/>
      <c r="J45" s="12"/>
      <c r="K45" s="12"/>
      <c r="L45" s="12"/>
      <c r="M45" s="12"/>
      <c r="N45" s="1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5"/>
      <c r="B46" s="22"/>
      <c r="C46" s="25"/>
      <c r="D46" s="16"/>
      <c r="E46" s="14"/>
      <c r="F46" s="12"/>
      <c r="G46" s="12"/>
      <c r="H46" s="12"/>
      <c r="I46" s="11"/>
      <c r="J46" s="12"/>
      <c r="K46" s="12"/>
      <c r="L46" s="12"/>
      <c r="M46" s="12"/>
      <c r="N46" s="1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s="93" customFormat="1" ht="17.25" customHeight="1">
      <c r="A47" s="113" t="s">
        <v>25</v>
      </c>
      <c r="B47" s="11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 ht="15.75" customHeight="1">
      <c r="A48" s="24" t="s">
        <v>26</v>
      </c>
      <c r="B48" s="3" t="s">
        <v>17</v>
      </c>
      <c r="C48" s="14"/>
      <c r="D48" s="16"/>
      <c r="E48" s="14"/>
      <c r="F48" s="12"/>
      <c r="G48" s="12"/>
      <c r="H48" s="12"/>
      <c r="I48" s="11"/>
      <c r="J48" s="12"/>
      <c r="K48" s="12"/>
      <c r="L48" s="12"/>
      <c r="M48" s="12"/>
      <c r="N48" s="29"/>
      <c r="O48" s="30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5"/>
      <c r="B49" s="22"/>
      <c r="C49" s="31"/>
      <c r="D49" s="32"/>
      <c r="E49" s="31"/>
      <c r="F49" s="33"/>
      <c r="G49" s="33"/>
      <c r="H49" s="34"/>
      <c r="I49" s="34"/>
      <c r="J49" s="34"/>
      <c r="K49" s="33"/>
      <c r="L49" s="33"/>
      <c r="M49" s="33"/>
      <c r="N49" s="35"/>
      <c r="O49" s="30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6"/>
      <c r="B50" s="22"/>
      <c r="C50" s="3"/>
      <c r="D50" s="3"/>
      <c r="E50" s="3"/>
      <c r="F50" s="3"/>
      <c r="G50" s="3"/>
      <c r="H50" s="3"/>
      <c r="I50" s="37"/>
      <c r="J50" s="37"/>
      <c r="K50" s="3"/>
      <c r="L50" s="3"/>
      <c r="M50" s="3"/>
      <c r="N50" s="38"/>
      <c r="O50" s="30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39"/>
      <c r="B51" s="28"/>
      <c r="C51" s="3"/>
      <c r="D51" s="3"/>
      <c r="E51" s="3"/>
      <c r="F51" s="3"/>
      <c r="G51" s="3"/>
      <c r="H51" s="3"/>
      <c r="I51" s="3"/>
      <c r="J51" s="3"/>
      <c r="K51" s="37"/>
      <c r="L51" s="37"/>
      <c r="M51" s="3"/>
      <c r="N51" s="38"/>
      <c r="O51" s="30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36"/>
      <c r="B52" s="22"/>
      <c r="C52" s="3"/>
      <c r="D52" s="3"/>
      <c r="E52" s="3"/>
      <c r="F52" s="3"/>
      <c r="G52" s="3"/>
      <c r="H52" s="3"/>
      <c r="I52" s="3"/>
      <c r="J52" s="3"/>
      <c r="K52" s="37"/>
      <c r="L52" s="37"/>
      <c r="M52" s="3"/>
      <c r="N52" s="38"/>
      <c r="O52" s="30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40"/>
      <c r="B53" s="22"/>
      <c r="C53" s="3"/>
      <c r="D53" s="3"/>
      <c r="E53" s="3"/>
      <c r="F53" s="3"/>
      <c r="G53" s="3"/>
      <c r="H53" s="3"/>
      <c r="I53" s="3"/>
      <c r="J53" s="3"/>
      <c r="K53" s="3"/>
      <c r="L53" s="37"/>
      <c r="M53" s="37"/>
      <c r="N53" s="38"/>
      <c r="O53" s="30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s="93" customFormat="1" ht="18" customHeight="1">
      <c r="A54" s="113" t="s">
        <v>27</v>
      </c>
      <c r="B54" s="11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7"/>
      <c r="O54" s="98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spans="1:26" ht="15.75" customHeight="1">
      <c r="A55" s="24" t="s">
        <v>28</v>
      </c>
      <c r="B55" s="3" t="s">
        <v>17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2"/>
      <c r="O55" s="30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43"/>
      <c r="B56" s="22"/>
      <c r="C56" s="44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2"/>
      <c r="O56" s="30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43"/>
      <c r="B57" s="22"/>
      <c r="C57" s="44"/>
      <c r="D57" s="44"/>
      <c r="E57" s="41"/>
      <c r="F57" s="41"/>
      <c r="G57" s="41"/>
      <c r="H57" s="41"/>
      <c r="I57" s="41"/>
      <c r="J57" s="41"/>
      <c r="K57" s="41"/>
      <c r="L57" s="41"/>
      <c r="M57" s="41"/>
      <c r="N57" s="42"/>
      <c r="O57" s="30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43"/>
      <c r="B58" s="22"/>
      <c r="C58" s="41"/>
      <c r="D58" s="44"/>
      <c r="E58" s="41"/>
      <c r="F58" s="41"/>
      <c r="G58" s="41"/>
      <c r="H58" s="41"/>
      <c r="I58" s="41"/>
      <c r="J58" s="41"/>
      <c r="K58" s="41"/>
      <c r="L58" s="41"/>
      <c r="M58" s="41"/>
      <c r="N58" s="42"/>
      <c r="O58" s="30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45"/>
      <c r="B59" s="28"/>
      <c r="C59" s="41"/>
      <c r="D59" s="41"/>
      <c r="E59" s="41"/>
      <c r="F59" s="44"/>
      <c r="G59" s="41"/>
      <c r="H59" s="41"/>
      <c r="I59" s="41"/>
      <c r="J59" s="41"/>
      <c r="K59" s="41"/>
      <c r="L59" s="41"/>
      <c r="M59" s="41"/>
      <c r="N59" s="42"/>
      <c r="O59" s="30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43"/>
      <c r="B60" s="22"/>
      <c r="C60" s="41"/>
      <c r="D60" s="41"/>
      <c r="E60" s="41"/>
      <c r="F60" s="44"/>
      <c r="G60" s="41"/>
      <c r="H60" s="41"/>
      <c r="I60" s="41"/>
      <c r="J60" s="41"/>
      <c r="K60" s="41"/>
      <c r="L60" s="41"/>
      <c r="M60" s="41"/>
      <c r="N60" s="42"/>
      <c r="O60" s="30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43"/>
      <c r="B61" s="22"/>
      <c r="C61" s="41"/>
      <c r="D61" s="41"/>
      <c r="E61" s="41"/>
      <c r="F61" s="41"/>
      <c r="G61" s="44"/>
      <c r="H61" s="41"/>
      <c r="I61" s="41"/>
      <c r="J61" s="41"/>
      <c r="K61" s="41"/>
      <c r="L61" s="41"/>
      <c r="M61" s="41"/>
      <c r="N61" s="42"/>
      <c r="O61" s="30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s="93" customFormat="1" ht="15.75" customHeight="1">
      <c r="A62" s="113" t="s">
        <v>29</v>
      </c>
      <c r="B62" s="11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7"/>
      <c r="O62" s="98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spans="1:26" ht="15.75" customHeight="1">
      <c r="A63" s="24" t="s">
        <v>30</v>
      </c>
      <c r="B63" s="3" t="s">
        <v>17</v>
      </c>
      <c r="C63" s="44"/>
      <c r="D63" s="41"/>
      <c r="E63" s="41"/>
      <c r="F63" s="44"/>
      <c r="G63" s="41"/>
      <c r="H63" s="41"/>
      <c r="I63" s="41"/>
      <c r="J63" s="41"/>
      <c r="K63" s="41"/>
      <c r="L63" s="41"/>
      <c r="M63" s="41"/>
      <c r="N63" s="42"/>
      <c r="O63" s="3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43"/>
      <c r="B64" s="22"/>
      <c r="C64" s="44"/>
      <c r="D64" s="44"/>
      <c r="E64" s="44"/>
      <c r="F64" s="44"/>
      <c r="G64" s="44"/>
      <c r="H64" s="41"/>
      <c r="I64" s="41"/>
      <c r="J64" s="41"/>
      <c r="K64" s="41"/>
      <c r="L64" s="41"/>
      <c r="M64" s="41"/>
      <c r="N64" s="42"/>
      <c r="O64" s="30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43"/>
      <c r="B65" s="22"/>
      <c r="C65" s="41"/>
      <c r="D65" s="44"/>
      <c r="E65" s="44"/>
      <c r="F65" s="44"/>
      <c r="G65" s="41"/>
      <c r="H65" s="41"/>
      <c r="I65" s="41"/>
      <c r="J65" s="41"/>
      <c r="K65" s="41"/>
      <c r="L65" s="41"/>
      <c r="M65" s="41"/>
      <c r="N65" s="42"/>
      <c r="O65" s="30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43"/>
      <c r="B66" s="22"/>
      <c r="C66" s="41"/>
      <c r="D66" s="44"/>
      <c r="E66" s="41"/>
      <c r="F66" s="41"/>
      <c r="G66" s="44"/>
      <c r="H66" s="41"/>
      <c r="I66" s="41"/>
      <c r="J66" s="41"/>
      <c r="K66" s="41"/>
      <c r="L66" s="41"/>
      <c r="M66" s="41"/>
      <c r="N66" s="42"/>
      <c r="O66" s="30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45"/>
      <c r="B67" s="28"/>
      <c r="C67" s="41"/>
      <c r="D67" s="44"/>
      <c r="E67" s="41"/>
      <c r="F67" s="41"/>
      <c r="G67" s="44"/>
      <c r="H67" s="41"/>
      <c r="I67" s="41"/>
      <c r="J67" s="41"/>
      <c r="K67" s="41"/>
      <c r="L67" s="41"/>
      <c r="M67" s="41"/>
      <c r="N67" s="42"/>
      <c r="O67" s="30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43"/>
      <c r="B68" s="22"/>
      <c r="C68" s="41"/>
      <c r="D68" s="44"/>
      <c r="E68" s="44"/>
      <c r="F68" s="44"/>
      <c r="G68" s="44"/>
      <c r="H68" s="44"/>
      <c r="I68" s="41"/>
      <c r="J68" s="41"/>
      <c r="K68" s="41"/>
      <c r="L68" s="41"/>
      <c r="M68" s="41"/>
      <c r="N68" s="42"/>
      <c r="O68" s="30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43"/>
      <c r="B69" s="22"/>
      <c r="C69" s="41"/>
      <c r="D69" s="41"/>
      <c r="E69" s="44"/>
      <c r="F69" s="44"/>
      <c r="G69" s="44"/>
      <c r="H69" s="44"/>
      <c r="I69" s="41"/>
      <c r="J69" s="41"/>
      <c r="K69" s="41"/>
      <c r="L69" s="41"/>
      <c r="M69" s="41"/>
      <c r="N69" s="42"/>
      <c r="O69" s="30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s="87" customFormat="1" ht="17.25" customHeight="1">
      <c r="A70" s="115" t="s">
        <v>31</v>
      </c>
      <c r="B70" s="114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95"/>
      <c r="O70" s="9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15.75" customHeight="1">
      <c r="A71" s="24" t="s">
        <v>32</v>
      </c>
      <c r="B71" s="3" t="s">
        <v>17</v>
      </c>
      <c r="C71" s="44"/>
      <c r="D71" s="41"/>
      <c r="E71" s="41"/>
      <c r="F71" s="41"/>
      <c r="G71" s="41"/>
      <c r="H71" s="41"/>
      <c r="I71" s="41"/>
      <c r="J71" s="44"/>
      <c r="K71" s="41"/>
      <c r="L71" s="41"/>
      <c r="M71" s="41"/>
      <c r="N71" s="42"/>
      <c r="O71" s="30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43"/>
      <c r="B72" s="22"/>
      <c r="C72" s="41"/>
      <c r="D72" s="44"/>
      <c r="E72" s="44"/>
      <c r="F72" s="44"/>
      <c r="G72" s="44"/>
      <c r="H72" s="44"/>
      <c r="I72" s="44"/>
      <c r="J72" s="44"/>
      <c r="K72" s="44"/>
      <c r="L72" s="44"/>
      <c r="M72" s="41"/>
      <c r="N72" s="42"/>
      <c r="O72" s="30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43"/>
      <c r="B73" s="22"/>
      <c r="C73" s="44"/>
      <c r="D73" s="41"/>
      <c r="E73" s="44"/>
      <c r="F73" s="44"/>
      <c r="G73" s="44"/>
      <c r="H73" s="44"/>
      <c r="I73" s="44"/>
      <c r="J73" s="44"/>
      <c r="K73" s="41"/>
      <c r="L73" s="41"/>
      <c r="M73" s="41"/>
      <c r="N73" s="42"/>
      <c r="O73" s="30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43"/>
      <c r="B74" s="22"/>
      <c r="C74" s="44"/>
      <c r="D74" s="41"/>
      <c r="E74" s="44"/>
      <c r="F74" s="41"/>
      <c r="G74" s="41"/>
      <c r="H74" s="41"/>
      <c r="I74" s="41"/>
      <c r="J74" s="44"/>
      <c r="K74" s="41"/>
      <c r="L74" s="41"/>
      <c r="M74" s="41"/>
      <c r="N74" s="42"/>
      <c r="O74" s="30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45"/>
      <c r="B75" s="28"/>
      <c r="C75" s="41"/>
      <c r="D75" s="41"/>
      <c r="E75" s="44"/>
      <c r="F75" s="41"/>
      <c r="G75" s="41"/>
      <c r="H75" s="41"/>
      <c r="I75" s="41"/>
      <c r="J75" s="41"/>
      <c r="K75" s="41"/>
      <c r="L75" s="44"/>
      <c r="M75" s="44"/>
      <c r="N75" s="42"/>
      <c r="O75" s="3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43"/>
      <c r="B76" s="22"/>
      <c r="C76" s="44"/>
      <c r="D76" s="44"/>
      <c r="E76" s="44"/>
      <c r="F76" s="41"/>
      <c r="G76" s="44"/>
      <c r="H76" s="44"/>
      <c r="I76" s="44"/>
      <c r="J76" s="44"/>
      <c r="K76" s="41"/>
      <c r="L76" s="46"/>
      <c r="M76" s="41"/>
      <c r="N76" s="42"/>
      <c r="O76" s="3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43"/>
      <c r="B77" s="22"/>
      <c r="C77" s="41"/>
      <c r="D77" s="41"/>
      <c r="E77" s="44"/>
      <c r="F77" s="44"/>
      <c r="G77" s="41"/>
      <c r="H77" s="41"/>
      <c r="I77" s="41"/>
      <c r="J77" s="41"/>
      <c r="K77" s="41"/>
      <c r="L77" s="41"/>
      <c r="M77" s="46"/>
      <c r="N77" s="42"/>
      <c r="O77" s="30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43"/>
      <c r="B78" s="22"/>
      <c r="C78" s="41"/>
      <c r="D78" s="41"/>
      <c r="E78" s="41"/>
      <c r="F78" s="44"/>
      <c r="G78" s="41"/>
      <c r="H78" s="44"/>
      <c r="I78" s="44"/>
      <c r="J78" s="44"/>
      <c r="K78" s="44"/>
      <c r="L78" s="41"/>
      <c r="M78" s="44"/>
      <c r="N78" s="47"/>
      <c r="O78" s="3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43"/>
      <c r="B79" s="22"/>
      <c r="C79" s="41"/>
      <c r="D79" s="41"/>
      <c r="E79" s="41"/>
      <c r="F79" s="44"/>
      <c r="G79" s="41"/>
      <c r="H79" s="41"/>
      <c r="I79" s="41"/>
      <c r="J79" s="41"/>
      <c r="K79" s="41"/>
      <c r="L79" s="44"/>
      <c r="M79" s="44"/>
      <c r="N79" s="47"/>
      <c r="O79" s="30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43"/>
      <c r="B80" s="22"/>
      <c r="C80" s="41"/>
      <c r="D80" s="41"/>
      <c r="E80" s="41"/>
      <c r="F80" s="41"/>
      <c r="G80" s="44"/>
      <c r="H80" s="41"/>
      <c r="I80" s="41"/>
      <c r="J80" s="41"/>
      <c r="K80" s="41"/>
      <c r="L80" s="41"/>
      <c r="M80" s="41"/>
      <c r="N80" s="47"/>
      <c r="O80" s="30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43"/>
      <c r="B81" s="48"/>
      <c r="C81" s="41"/>
      <c r="D81" s="41"/>
      <c r="E81" s="41"/>
      <c r="F81" s="41"/>
      <c r="G81" s="44"/>
      <c r="H81" s="41"/>
      <c r="I81" s="41"/>
      <c r="J81" s="41"/>
      <c r="K81" s="41"/>
      <c r="L81" s="41"/>
      <c r="M81" s="41"/>
      <c r="N81" s="47"/>
      <c r="O81" s="30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43"/>
      <c r="B82" s="49" t="s">
        <v>33</v>
      </c>
      <c r="C82" s="50">
        <f t="shared" ref="C82:N82" si="0">SUM(C8:C81)</f>
        <v>0</v>
      </c>
      <c r="D82" s="50">
        <f t="shared" si="0"/>
        <v>0</v>
      </c>
      <c r="E82" s="50">
        <f t="shared" si="0"/>
        <v>1000000</v>
      </c>
      <c r="F82" s="50">
        <f t="shared" si="0"/>
        <v>700000</v>
      </c>
      <c r="G82" s="50">
        <f t="shared" si="0"/>
        <v>1200000</v>
      </c>
      <c r="H82" s="50">
        <f t="shared" si="0"/>
        <v>600000</v>
      </c>
      <c r="I82" s="50">
        <f t="shared" si="0"/>
        <v>600000</v>
      </c>
      <c r="J82" s="50">
        <f t="shared" si="0"/>
        <v>0</v>
      </c>
      <c r="K82" s="50">
        <f t="shared" si="0"/>
        <v>0</v>
      </c>
      <c r="L82" s="50">
        <f t="shared" si="0"/>
        <v>0</v>
      </c>
      <c r="M82" s="50">
        <f t="shared" si="0"/>
        <v>0</v>
      </c>
      <c r="N82" s="50">
        <f t="shared" si="0"/>
        <v>0</v>
      </c>
      <c r="O82" s="30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5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5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5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5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5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5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5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5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5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5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5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5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5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5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5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5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5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5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5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5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5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5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5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5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5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5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5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5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5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5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5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5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5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5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5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5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5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5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5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5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5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5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5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5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5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5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5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5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5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5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5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5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5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5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5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5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5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5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5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5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5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5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5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5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5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5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5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5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5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5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5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5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5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5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5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5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5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5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5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5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5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5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5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5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5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5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5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5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5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5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5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5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5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5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5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5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5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5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5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5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5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5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5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5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5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5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5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5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5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5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5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5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5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5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5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5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5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5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5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5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5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5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5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5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5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5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5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5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5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5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5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5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5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5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5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5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5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5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5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5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5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5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5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5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5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5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5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5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5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5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5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5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5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5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5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5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5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5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5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5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5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5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5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5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5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5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5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5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5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5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5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5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5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5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5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5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5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5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5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5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5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5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5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5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5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5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5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5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5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5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5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5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5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5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5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5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5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5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5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5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5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5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5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5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5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5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5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5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5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5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5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5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5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5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5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5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5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5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5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5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5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5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5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5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5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5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5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5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5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5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5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5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5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5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5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5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5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5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5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5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5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5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5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5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5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5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5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5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5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5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5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5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5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5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5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5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5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5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5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5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5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5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5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5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5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5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5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5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5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5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5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5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5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5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5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5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5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5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5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5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5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5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5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5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5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5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5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5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5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5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5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5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5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5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5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5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5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5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5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5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5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5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5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5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5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5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5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5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5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5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5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5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5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5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5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5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5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5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5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5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5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5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5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5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5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5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5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5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5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5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5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5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5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5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5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5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5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5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5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5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5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5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5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5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5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5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5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5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5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5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5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5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5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5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5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5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5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5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5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5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5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5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5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5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5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5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5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5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5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5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5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5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5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5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5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5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5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5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5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5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5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5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5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5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5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5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5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5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5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5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5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5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5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5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5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5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5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5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5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5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5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5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5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5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5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5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5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5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5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5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5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5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5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5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5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5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5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5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5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5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5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5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5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5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5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5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5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5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5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5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5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5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5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5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5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5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5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5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5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5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5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5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5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5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5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5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5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5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5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5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5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5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5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5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5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5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5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5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5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5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5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5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5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5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5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5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5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5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5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5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5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5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5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5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5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5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5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5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5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5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5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5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5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5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5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5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5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5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5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5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5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5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5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5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5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5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5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5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5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5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5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5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5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5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5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5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5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5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5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5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5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5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5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5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5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5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5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5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5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5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5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5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5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5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5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5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5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5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5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5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5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5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5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5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5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5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5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5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5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5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5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5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5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5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5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5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5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5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5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5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5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5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5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5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5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5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5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5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5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5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5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5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5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5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5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5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5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5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5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5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5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5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5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5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5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5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5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5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5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5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5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5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5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5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5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5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5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5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5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5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5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5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5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5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5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5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5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5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5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5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5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5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5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5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5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5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5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5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5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5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5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5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5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5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5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5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5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5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5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5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5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5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5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5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5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5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5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5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5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5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5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5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5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5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5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5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5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5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5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5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5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5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5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5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5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5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5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5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5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5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5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5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5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5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5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5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5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5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5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5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5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5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5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5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5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5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5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5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5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5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5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5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5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5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5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5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5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5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5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5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5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5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5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5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5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5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5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5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5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5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5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5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5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5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5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5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5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5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5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5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5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5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5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5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5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5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5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5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5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5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5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5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5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5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5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5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5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5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5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5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5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5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5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5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5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5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5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5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5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5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5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5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5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5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5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5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5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5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5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5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5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5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5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5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5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5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5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5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5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5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5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5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5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5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5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5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5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5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5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5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5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5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5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5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5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5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5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5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5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5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5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5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5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5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5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5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5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5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5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5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5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5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5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5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5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5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5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5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5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5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5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5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5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5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5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5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5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5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5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5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5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5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5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5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5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5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5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5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5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5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5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5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5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5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5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5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5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5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5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5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5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5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5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5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5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5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5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5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5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5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5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5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5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5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5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5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5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5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5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5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5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5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5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5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5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5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5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5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5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5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5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5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5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5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5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5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5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5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5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5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5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5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5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5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5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5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5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5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5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5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5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5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5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5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5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5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5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5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5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5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5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5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5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5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5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5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5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5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5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5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5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5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5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5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5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5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5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5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5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5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5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>
      <c r="A1016" s="5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>
      <c r="A1017" s="5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>
      <c r="A1018" s="5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>
      <c r="A1019" s="5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>
      <c r="A1020" s="5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>
      <c r="A1021" s="5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>
      <c r="A1022" s="5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>
      <c r="A1023" s="5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>
      <c r="A1024" s="5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>
      <c r="A1025" s="5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>
      <c r="A1026" s="5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>
      <c r="A1027" s="5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>
      <c r="A1028" s="5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>
      <c r="A1029" s="5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>
      <c r="A1030" s="5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>
      <c r="A1031" s="5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>
      <c r="A1032" s="5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>
      <c r="A1033" s="5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>
      <c r="A1034" s="5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>
      <c r="A1035" s="5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>
      <c r="A1036" s="5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</sheetData>
  <mergeCells count="10">
    <mergeCell ref="A54:B54"/>
    <mergeCell ref="A62:B62"/>
    <mergeCell ref="A70:B70"/>
    <mergeCell ref="A1:N3"/>
    <mergeCell ref="A4:D4"/>
    <mergeCell ref="A6:B6"/>
    <mergeCell ref="A7:B7"/>
    <mergeCell ref="A18:B18"/>
    <mergeCell ref="A31:B31"/>
    <mergeCell ref="A47:B47"/>
  </mergeCells>
  <pageMargins left="0.7" right="0.7" top="0.75" bottom="0.75" header="0" footer="0"/>
  <pageSetup orientation="portrait"/>
  <headerFooter>
    <oddFooter>&amp;L_x000D_&amp;1#&amp;"Arial"&amp;7&amp;K000000 ***Este documento está clasificado como PUBLICO por TELEFÓNICA.
***This document is classified as PUBLIC by TELEFÓNICA.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6" topLeftCell="A7" activePane="bottomLeft" state="frozen"/>
      <selection pane="bottomLeft" activeCell="G9" sqref="G9"/>
    </sheetView>
  </sheetViews>
  <sheetFormatPr baseColWidth="10" defaultColWidth="14.42578125" defaultRowHeight="15" customHeight="1"/>
  <cols>
    <col min="1" max="1" width="7.85546875" customWidth="1"/>
    <col min="2" max="2" width="46.5703125" customWidth="1"/>
    <col min="3" max="3" width="10.7109375" customWidth="1"/>
    <col min="4" max="4" width="19.28515625" customWidth="1"/>
    <col min="5" max="5" width="16.28515625" customWidth="1"/>
    <col min="6" max="7" width="16.42578125" customWidth="1"/>
    <col min="8" max="8" width="11.5703125" customWidth="1"/>
    <col min="9" max="9" width="13.7109375" customWidth="1"/>
    <col min="10" max="10" width="10.42578125" customWidth="1"/>
    <col min="11" max="11" width="11.28515625" customWidth="1"/>
    <col min="12" max="14" width="10.42578125" customWidth="1"/>
    <col min="15" max="26" width="11.42578125" customWidth="1"/>
  </cols>
  <sheetData>
    <row r="1" spans="1:26" s="101" customFormat="1">
      <c r="A1" s="129" t="s">
        <v>34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1"/>
      <c r="O1" s="99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s="101" customFormat="1">
      <c r="A2" s="132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4"/>
      <c r="O2" s="99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s="101" customFormat="1">
      <c r="A3" s="135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99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s="108" customFormat="1" ht="18.75" customHeight="1">
      <c r="A4" s="138"/>
      <c r="B4" s="139"/>
      <c r="C4" s="139"/>
      <c r="D4" s="140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spans="1:26" s="108" customFormat="1">
      <c r="A5" s="109" t="s">
        <v>1</v>
      </c>
      <c r="B5" s="109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spans="1:26" s="108" customFormat="1">
      <c r="A6" s="141" t="s">
        <v>2</v>
      </c>
      <c r="B6" s="142"/>
      <c r="C6" s="111" t="s">
        <v>3</v>
      </c>
      <c r="D6" s="111" t="s">
        <v>4</v>
      </c>
      <c r="E6" s="111" t="s">
        <v>5</v>
      </c>
      <c r="F6" s="111" t="s">
        <v>6</v>
      </c>
      <c r="G6" s="111" t="s">
        <v>7</v>
      </c>
      <c r="H6" s="111" t="s">
        <v>8</v>
      </c>
      <c r="I6" s="111" t="s">
        <v>9</v>
      </c>
      <c r="J6" s="111" t="s">
        <v>10</v>
      </c>
      <c r="K6" s="111" t="s">
        <v>11</v>
      </c>
      <c r="L6" s="111" t="s">
        <v>12</v>
      </c>
      <c r="M6" s="111" t="s">
        <v>13</v>
      </c>
      <c r="N6" s="111" t="s">
        <v>14</v>
      </c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spans="1:26" s="108" customFormat="1">
      <c r="A7" s="112"/>
      <c r="B7" s="111" t="s">
        <v>35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spans="1:26">
      <c r="A8" s="2" t="s">
        <v>16</v>
      </c>
      <c r="B8" s="37" t="s">
        <v>71</v>
      </c>
      <c r="C8" s="10"/>
      <c r="D8" s="10"/>
      <c r="E8" s="5">
        <v>1000000</v>
      </c>
      <c r="F8" s="5">
        <v>950000</v>
      </c>
      <c r="G8" s="5">
        <v>1250000</v>
      </c>
      <c r="H8" s="5"/>
      <c r="I8" s="5"/>
      <c r="J8" s="16"/>
      <c r="K8" s="16"/>
      <c r="L8" s="16"/>
      <c r="M8" s="16"/>
      <c r="N8" s="16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>
      <c r="A9" s="7" t="s">
        <v>18</v>
      </c>
      <c r="B9" s="13" t="s">
        <v>72</v>
      </c>
      <c r="C9" s="16"/>
      <c r="D9" s="10"/>
      <c r="E9" s="14"/>
      <c r="F9" s="12"/>
      <c r="G9" s="12"/>
      <c r="H9" s="12">
        <v>450000</v>
      </c>
      <c r="I9" s="12">
        <v>600000</v>
      </c>
      <c r="J9" s="16"/>
      <c r="K9" s="16"/>
      <c r="L9" s="16"/>
      <c r="M9" s="16"/>
      <c r="N9" s="16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>
      <c r="A10" s="7" t="s">
        <v>19</v>
      </c>
      <c r="B10" s="8"/>
      <c r="C10" s="16"/>
      <c r="D10" s="16"/>
      <c r="E10" s="10"/>
      <c r="F10" s="10"/>
      <c r="G10" s="16"/>
      <c r="H10" s="16"/>
      <c r="I10" s="16"/>
      <c r="J10" s="16"/>
      <c r="K10" s="16"/>
      <c r="L10" s="16"/>
      <c r="M10" s="16"/>
      <c r="N10" s="16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>
      <c r="A11" s="7"/>
      <c r="B11" s="13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s="108" customFormat="1">
      <c r="A12" s="112"/>
      <c r="B12" s="111" t="s">
        <v>36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>
      <c r="A13" s="24" t="s">
        <v>21</v>
      </c>
      <c r="B13" s="3" t="s">
        <v>17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>
      <c r="A14" s="55" t="s">
        <v>22</v>
      </c>
      <c r="B14" s="8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>
      <c r="A15" s="55" t="s">
        <v>37</v>
      </c>
      <c r="B15" s="8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>
      <c r="A16" s="55"/>
      <c r="B16" s="1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s="108" customFormat="1">
      <c r="A17" s="112"/>
      <c r="B17" s="111" t="s">
        <v>38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18" customHeight="1">
      <c r="A18" s="24" t="s">
        <v>24</v>
      </c>
      <c r="B18" s="3" t="s">
        <v>17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>
      <c r="A19" s="55" t="s">
        <v>39</v>
      </c>
      <c r="B19" s="8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>
      <c r="A20" s="55" t="s">
        <v>40</v>
      </c>
      <c r="B20" s="8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55"/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s="108" customFormat="1" ht="15.75" customHeight="1">
      <c r="A22" s="112"/>
      <c r="B22" s="111" t="s">
        <v>41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5.75" customHeight="1">
      <c r="A23" s="24" t="s">
        <v>26</v>
      </c>
      <c r="B23" s="3" t="s">
        <v>17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55" t="s">
        <v>42</v>
      </c>
      <c r="B24" s="8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55" t="s">
        <v>43</v>
      </c>
      <c r="B25" s="8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7"/>
      <c r="B26" s="1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s="108" customFormat="1" ht="15.75" customHeight="1">
      <c r="A27" s="112"/>
      <c r="B27" s="111" t="s">
        <v>44</v>
      </c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 ht="15.75" customHeight="1">
      <c r="A28" s="24" t="s">
        <v>28</v>
      </c>
      <c r="B28" s="3" t="s">
        <v>17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55" t="s">
        <v>45</v>
      </c>
      <c r="B29" s="8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7"/>
      <c r="B30" s="8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7"/>
      <c r="B31" s="13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s="103" customFormat="1" ht="15.75" customHeight="1">
      <c r="A32" s="104"/>
      <c r="B32" s="105" t="s">
        <v>46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ht="15.75" customHeight="1">
      <c r="A33" s="24" t="s">
        <v>30</v>
      </c>
      <c r="B33" s="3" t="s">
        <v>17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55" t="s">
        <v>47</v>
      </c>
      <c r="B34" s="8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7"/>
      <c r="B35" s="8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7"/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56"/>
      <c r="B37" s="22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56"/>
      <c r="B38" s="22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56"/>
      <c r="B39" s="22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56"/>
      <c r="B40" s="22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56"/>
      <c r="B41" s="22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56"/>
      <c r="B42" s="22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A43" s="56"/>
      <c r="B43" s="22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56"/>
      <c r="B44" s="22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56"/>
      <c r="B45" s="22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56"/>
      <c r="B46" s="22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7.25" customHeight="1">
      <c r="A47" s="56"/>
      <c r="B47" s="22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56"/>
      <c r="B48" s="22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56"/>
      <c r="B49" s="22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56"/>
      <c r="B50" s="2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56"/>
      <c r="B51" s="2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56"/>
      <c r="B52" s="22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56"/>
      <c r="B53" s="2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8" customHeight="1">
      <c r="A54" s="56"/>
      <c r="B54" s="22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56"/>
      <c r="B55" s="22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56"/>
      <c r="B56" s="22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56"/>
      <c r="B57" s="22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56"/>
      <c r="B58" s="2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56"/>
      <c r="B59" s="22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56"/>
      <c r="B60" s="2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56"/>
      <c r="B61" s="22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56"/>
      <c r="B62" s="2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56"/>
      <c r="B63" s="22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56"/>
      <c r="B64" s="22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56"/>
      <c r="B65" s="22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56"/>
      <c r="B66" s="22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56"/>
      <c r="B67" s="2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56"/>
      <c r="B68" s="2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56"/>
      <c r="B69" s="2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7.25" customHeight="1">
      <c r="A70" s="56"/>
      <c r="B70" s="22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56"/>
      <c r="B71" s="2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56"/>
      <c r="B72" s="22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56"/>
      <c r="B73" s="2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56"/>
      <c r="B74" s="22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56"/>
      <c r="B75" s="22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56"/>
      <c r="B76" s="2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56"/>
      <c r="B77" s="22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56"/>
      <c r="B78" s="22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56"/>
      <c r="B79" s="22"/>
      <c r="C79" s="16"/>
      <c r="D79" s="16"/>
      <c r="E79" s="16"/>
      <c r="F79" s="16"/>
      <c r="G79" s="16"/>
      <c r="H79" s="16"/>
      <c r="I79" s="16"/>
      <c r="J79" s="16"/>
      <c r="K79" s="16"/>
      <c r="L79" s="10"/>
      <c r="M79" s="16"/>
      <c r="N79" s="16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56"/>
      <c r="B80" s="22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57"/>
      <c r="B81" s="48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58"/>
      <c r="B82" s="59" t="s">
        <v>33</v>
      </c>
      <c r="C82" s="60">
        <f t="shared" ref="C82:N82" si="0">SUM(C8:C81)</f>
        <v>0</v>
      </c>
      <c r="D82" s="60">
        <f t="shared" si="0"/>
        <v>0</v>
      </c>
      <c r="E82" s="60">
        <f t="shared" si="0"/>
        <v>1000000</v>
      </c>
      <c r="F82" s="60">
        <f t="shared" si="0"/>
        <v>950000</v>
      </c>
      <c r="G82" s="60">
        <f t="shared" si="0"/>
        <v>1250000</v>
      </c>
      <c r="H82" s="60">
        <f t="shared" si="0"/>
        <v>450000</v>
      </c>
      <c r="I82" s="60">
        <f t="shared" si="0"/>
        <v>600000</v>
      </c>
      <c r="J82" s="60">
        <f t="shared" si="0"/>
        <v>0</v>
      </c>
      <c r="K82" s="60">
        <f t="shared" si="0"/>
        <v>0</v>
      </c>
      <c r="L82" s="60">
        <f t="shared" si="0"/>
        <v>0</v>
      </c>
      <c r="M82" s="60">
        <f t="shared" si="0"/>
        <v>0</v>
      </c>
      <c r="N82" s="60">
        <f t="shared" si="0"/>
        <v>0</v>
      </c>
      <c r="O82" s="53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61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61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61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61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61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61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61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61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61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61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61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61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61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61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61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61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61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61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61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61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61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61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61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61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61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61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61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61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61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61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61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61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61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61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61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61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61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61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61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61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61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61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61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61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61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61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61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61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61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61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61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61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61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61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61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61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61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61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61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61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61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61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61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61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61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61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61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61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61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61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61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61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61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61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61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61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61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61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61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61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61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61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61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61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61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61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61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61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61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61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61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61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61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61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61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61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61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61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61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61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61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61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61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61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61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61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61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61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61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61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61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61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61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61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61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61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61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61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61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61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61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61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61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61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61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61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61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61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61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61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61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61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61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61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61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61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61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61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61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61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61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61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61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61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61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61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61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61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61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61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61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61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61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61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61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61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61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61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61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61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61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61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61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61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61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61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61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61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61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61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61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61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61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61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61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61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61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61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61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61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61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61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61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61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61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61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61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61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61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61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61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61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61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61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61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61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61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61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61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61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61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61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61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61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61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61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61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61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61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61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61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61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61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61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61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61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61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61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61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61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61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61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61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61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61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61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61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61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61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61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61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61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61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61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61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61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61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61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61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61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61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61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61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61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61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61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61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61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61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61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61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61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61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61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61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61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61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61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61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61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61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61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61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61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61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61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61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61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61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61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61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61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61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61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61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61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61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61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61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61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61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61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61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61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61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61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61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61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61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61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61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61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61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61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61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61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61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61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61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61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61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61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61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61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61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61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61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61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61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61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61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61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61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61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61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61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61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61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61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61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61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61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61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61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61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61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61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61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61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61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61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61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61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61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61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61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61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61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61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61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61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61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61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61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61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61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61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61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61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61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61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61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61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61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61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61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61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61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61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61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61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61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61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61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61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61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61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61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61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61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61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61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61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61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61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61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61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61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61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61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61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61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61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61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61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61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61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61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61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61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61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61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61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61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61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61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61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61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61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61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61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61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61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61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61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61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61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61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61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61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61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61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61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61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61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61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61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61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61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61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61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61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61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61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61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61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61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61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61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61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61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61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61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61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61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61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61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61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61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61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61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61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61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61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61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61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61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61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61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61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61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61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61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61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61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61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61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61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61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61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61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61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61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61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61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61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61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61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61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61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61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61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61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61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61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61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61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61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61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61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61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61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61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61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61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61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61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61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61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61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61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61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61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61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61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61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61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61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61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61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61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61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61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61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61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61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61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61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61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61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61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61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61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61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61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61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61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61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61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61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61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61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61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61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61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61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61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61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61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61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61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61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61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61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61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61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61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61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61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61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61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61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61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61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61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61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61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61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61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61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61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61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61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61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61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61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61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61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61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61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61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61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61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61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61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61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61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61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61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61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61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61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61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61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61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61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61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61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61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61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61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61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61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61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61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61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61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61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61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61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61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61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61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61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61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61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61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61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61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61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61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61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61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61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61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61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61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61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61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61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61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61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61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61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61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61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61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61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61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61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61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61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61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61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61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61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61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61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61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61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61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61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61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61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61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61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61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61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61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61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61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61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61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61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61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61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61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61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61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61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61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61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61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61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61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61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61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61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61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61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61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61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61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61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61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61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61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61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61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61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61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61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61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61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61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61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61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61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61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61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61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61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61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61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61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61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61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61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61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61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61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61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61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61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61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61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61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61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61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61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61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61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61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61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61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61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61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61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61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61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61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61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61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61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61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61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61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61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61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61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61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61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61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61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61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61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61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61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61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61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61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61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61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61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61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61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61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61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61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61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61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61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61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61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61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61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61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61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61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61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61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61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61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61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61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61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61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61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61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61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61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61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61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61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61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61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61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61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61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61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61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61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61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61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61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61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61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61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61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61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61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61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61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61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61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61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61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61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61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61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61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61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61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61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61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61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61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61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61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61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61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61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61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61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61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61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61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61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61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61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61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61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61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61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61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61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61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61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61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61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61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61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61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61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61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61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61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61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61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61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61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61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61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61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61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61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61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61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61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61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61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61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61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61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61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61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61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61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61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61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61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61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61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61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61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61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61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61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61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61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61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61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61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61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61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61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61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61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61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61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61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61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61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61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61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61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61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61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61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61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>
      <c r="A963" s="61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>
      <c r="A964" s="61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>
      <c r="A965" s="61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>
      <c r="A966" s="61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>
      <c r="A967" s="61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>
      <c r="A968" s="61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>
      <c r="A969" s="61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>
      <c r="A970" s="61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>
      <c r="A971" s="61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>
      <c r="A972" s="61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>
      <c r="A973" s="61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>
      <c r="A974" s="61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>
      <c r="A975" s="61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>
      <c r="A976" s="61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>
      <c r="A977" s="61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>
      <c r="A978" s="61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>
      <c r="A979" s="61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>
      <c r="A980" s="61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>
      <c r="A981" s="61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>
      <c r="A982" s="61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>
      <c r="A983" s="61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>
      <c r="A984" s="61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>
      <c r="A985" s="61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>
      <c r="A986" s="61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>
      <c r="A987" s="61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>
      <c r="A988" s="61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>
      <c r="A989" s="61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>
      <c r="A990" s="61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>
      <c r="A991" s="61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>
      <c r="A992" s="61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>
      <c r="A993" s="61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>
      <c r="A994" s="61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>
      <c r="A995" s="61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>
      <c r="A996" s="61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>
      <c r="A997" s="61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>
      <c r="A998" s="61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>
      <c r="A999" s="61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>
      <c r="A1000" s="61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3">
    <mergeCell ref="A1:N3"/>
    <mergeCell ref="A4:D4"/>
    <mergeCell ref="A6:B6"/>
  </mergeCells>
  <pageMargins left="0.7" right="0.7" top="0.75" bottom="0.75" header="0" footer="0"/>
  <pageSetup orientation="portrait"/>
  <headerFooter>
    <oddFooter>&amp;L_x000D_&amp;1#&amp;"Arial"&amp;7&amp;K000000 ***Este documento está clasificado como PUBLICO por TELEFÓNICA.
***This document is classified as PUBLIC by TELEFÓNICA.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1000"/>
  <sheetViews>
    <sheetView showGridLines="0" topLeftCell="A39" workbookViewId="0">
      <selection activeCell="F11" sqref="F11"/>
    </sheetView>
  </sheetViews>
  <sheetFormatPr baseColWidth="10" defaultColWidth="14.42578125" defaultRowHeight="15" customHeight="1"/>
  <cols>
    <col min="1" max="1" width="4.7109375" customWidth="1"/>
    <col min="2" max="2" width="3.28515625" customWidth="1"/>
    <col min="3" max="3" width="29.42578125" customWidth="1"/>
    <col min="4" max="4" width="16.7109375" customWidth="1"/>
    <col min="5" max="5" width="16.140625" customWidth="1"/>
    <col min="6" max="6" width="17.42578125" customWidth="1"/>
    <col min="7" max="8" width="14.85546875" customWidth="1"/>
    <col min="9" max="9" width="14.42578125" customWidth="1"/>
    <col min="10" max="10" width="16.42578125" customWidth="1"/>
    <col min="11" max="11" width="14.42578125" customWidth="1"/>
    <col min="12" max="12" width="16.42578125" customWidth="1"/>
    <col min="13" max="14" width="15.42578125" customWidth="1"/>
    <col min="15" max="15" width="16.7109375" customWidth="1"/>
    <col min="16" max="16" width="3.28515625" customWidth="1"/>
    <col min="17" max="26" width="11.42578125" customWidth="1"/>
  </cols>
  <sheetData>
    <row r="2" spans="2:16">
      <c r="B2" s="146" t="s">
        <v>48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8"/>
      <c r="P2" s="63"/>
    </row>
    <row r="3" spans="2:16"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1"/>
      <c r="P3" s="63"/>
    </row>
    <row r="4" spans="2:16">
      <c r="B4" s="64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5"/>
      <c r="P4" s="63"/>
    </row>
    <row r="5" spans="2:16">
      <c r="B5" s="64"/>
      <c r="C5" s="66" t="s">
        <v>49</v>
      </c>
      <c r="D5" s="67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  <c r="P5" s="63"/>
    </row>
    <row r="6" spans="2:16">
      <c r="B6" s="64"/>
      <c r="C6" s="66" t="s">
        <v>50</v>
      </c>
      <c r="D6" s="152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5"/>
      <c r="P6" s="63"/>
    </row>
    <row r="7" spans="2:16">
      <c r="B7" s="64"/>
      <c r="C7" s="66" t="s">
        <v>51</v>
      </c>
      <c r="D7" s="153"/>
      <c r="E7" s="154"/>
      <c r="F7" s="155" t="s">
        <v>52</v>
      </c>
      <c r="G7" s="154"/>
      <c r="H7" s="156"/>
      <c r="I7" s="144"/>
      <c r="J7" s="154"/>
      <c r="K7" s="155" t="s">
        <v>53</v>
      </c>
      <c r="L7" s="154"/>
      <c r="M7" s="153"/>
      <c r="N7" s="144"/>
      <c r="O7" s="145"/>
      <c r="P7" s="63"/>
    </row>
    <row r="8" spans="2:16">
      <c r="B8" s="64"/>
      <c r="C8" s="70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2"/>
      <c r="P8" s="63"/>
    </row>
    <row r="9" spans="2:16">
      <c r="B9" s="64"/>
      <c r="C9" s="73"/>
      <c r="D9" s="143" t="s">
        <v>54</v>
      </c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5"/>
      <c r="P9" s="63"/>
    </row>
    <row r="10" spans="2:16">
      <c r="B10" s="64"/>
      <c r="C10" s="74"/>
      <c r="D10" s="75" t="s">
        <v>55</v>
      </c>
      <c r="E10" s="75" t="s">
        <v>56</v>
      </c>
      <c r="F10" s="75" t="s">
        <v>57</v>
      </c>
      <c r="G10" s="75" t="s">
        <v>58</v>
      </c>
      <c r="H10" s="75" t="s">
        <v>59</v>
      </c>
      <c r="I10" s="75" t="s">
        <v>60</v>
      </c>
      <c r="J10" s="75" t="s">
        <v>61</v>
      </c>
      <c r="K10" s="75" t="s">
        <v>62</v>
      </c>
      <c r="L10" s="75" t="s">
        <v>63</v>
      </c>
      <c r="M10" s="75" t="s">
        <v>64</v>
      </c>
      <c r="N10" s="75" t="s">
        <v>65</v>
      </c>
      <c r="O10" s="75" t="s">
        <v>66</v>
      </c>
      <c r="P10" s="63"/>
    </row>
    <row r="11" spans="2:16">
      <c r="B11" s="64"/>
      <c r="C11" s="66" t="s">
        <v>67</v>
      </c>
      <c r="D11" s="76">
        <f>'Detalle de Costos Planificados'!C82</f>
        <v>0</v>
      </c>
      <c r="E11" s="76">
        <f>'Detalle de Costos Planificados'!D82</f>
        <v>0</v>
      </c>
      <c r="F11" s="76">
        <f>'Detalle de Costos Planificados'!E82</f>
        <v>1000000</v>
      </c>
      <c r="G11" s="76">
        <f>'Detalle de Costos Planificados'!F82</f>
        <v>700000</v>
      </c>
      <c r="H11" s="76">
        <f>'Detalle de Costos Planificados'!G82</f>
        <v>1200000</v>
      </c>
      <c r="I11" s="76">
        <f>'Detalle de Costos Planificados'!H82</f>
        <v>600000</v>
      </c>
      <c r="J11" s="76">
        <f>'Detalle de Costos Planificados'!I82</f>
        <v>600000</v>
      </c>
      <c r="K11" s="76">
        <f>'Detalle de Costos Planificados'!J82</f>
        <v>0</v>
      </c>
      <c r="L11" s="76">
        <f>'Detalle de Costos Planificados'!K82</f>
        <v>0</v>
      </c>
      <c r="M11" s="76">
        <f>'Detalle de Costos Planificados'!L82</f>
        <v>0</v>
      </c>
      <c r="N11" s="76">
        <f>'Detalle de Costos Planificados'!M82</f>
        <v>0</v>
      </c>
      <c r="O11" s="76">
        <f>'Detalle de Costos Planificados'!N82</f>
        <v>0</v>
      </c>
      <c r="P11" s="63"/>
    </row>
    <row r="12" spans="2:16">
      <c r="B12" s="64"/>
      <c r="C12" s="66" t="s">
        <v>68</v>
      </c>
      <c r="D12" s="76">
        <f>D11</f>
        <v>0</v>
      </c>
      <c r="E12" s="76">
        <f t="shared" ref="E12:O12" si="0">E11+D12</f>
        <v>0</v>
      </c>
      <c r="F12" s="76">
        <f t="shared" si="0"/>
        <v>1000000</v>
      </c>
      <c r="G12" s="76">
        <f t="shared" si="0"/>
        <v>1700000</v>
      </c>
      <c r="H12" s="76">
        <f t="shared" si="0"/>
        <v>2900000</v>
      </c>
      <c r="I12" s="76">
        <f t="shared" si="0"/>
        <v>3500000</v>
      </c>
      <c r="J12" s="76">
        <f t="shared" si="0"/>
        <v>4100000</v>
      </c>
      <c r="K12" s="76">
        <f t="shared" si="0"/>
        <v>4100000</v>
      </c>
      <c r="L12" s="76">
        <f t="shared" si="0"/>
        <v>4100000</v>
      </c>
      <c r="M12" s="76">
        <f t="shared" si="0"/>
        <v>4100000</v>
      </c>
      <c r="N12" s="76">
        <f t="shared" si="0"/>
        <v>4100000</v>
      </c>
      <c r="O12" s="76">
        <f t="shared" si="0"/>
        <v>4100000</v>
      </c>
      <c r="P12" s="63"/>
    </row>
    <row r="13" spans="2:16">
      <c r="B13" s="64"/>
      <c r="C13" s="66" t="s">
        <v>69</v>
      </c>
      <c r="D13" s="76">
        <f>'Detalle de Costos Reales'!C82</f>
        <v>0</v>
      </c>
      <c r="E13" s="76">
        <f>'Detalle de Costos Reales'!D82</f>
        <v>0</v>
      </c>
      <c r="F13" s="76">
        <f>'Detalle de Costos Reales'!E82</f>
        <v>1000000</v>
      </c>
      <c r="G13" s="76">
        <f>'Detalle de Costos Reales'!F82</f>
        <v>950000</v>
      </c>
      <c r="H13" s="76">
        <f>'Detalle de Costos Reales'!G82</f>
        <v>1250000</v>
      </c>
      <c r="I13" s="76">
        <f>'Detalle de Costos Reales'!H82</f>
        <v>450000</v>
      </c>
      <c r="J13" s="76">
        <f>'Detalle de Costos Reales'!I82</f>
        <v>600000</v>
      </c>
      <c r="K13" s="76">
        <f>'Detalle de Costos Reales'!J82</f>
        <v>0</v>
      </c>
      <c r="L13" s="76">
        <f>'Detalle de Costos Reales'!K82</f>
        <v>0</v>
      </c>
      <c r="M13" s="76">
        <f>'Detalle de Costos Reales'!L82</f>
        <v>0</v>
      </c>
      <c r="N13" s="76">
        <f>'Detalle de Costos Reales'!M82</f>
        <v>0</v>
      </c>
      <c r="O13" s="76">
        <f>'Detalle de Costos Reales'!N82</f>
        <v>0</v>
      </c>
      <c r="P13" s="63"/>
    </row>
    <row r="14" spans="2:16">
      <c r="B14" s="64"/>
      <c r="C14" s="66" t="s">
        <v>70</v>
      </c>
      <c r="D14" s="76">
        <f>D13</f>
        <v>0</v>
      </c>
      <c r="E14" s="76">
        <f t="shared" ref="E14:O14" si="1">D14+E13</f>
        <v>0</v>
      </c>
      <c r="F14" s="76">
        <f t="shared" si="1"/>
        <v>1000000</v>
      </c>
      <c r="G14" s="76">
        <f t="shared" si="1"/>
        <v>1950000</v>
      </c>
      <c r="H14" s="76">
        <f t="shared" si="1"/>
        <v>3200000</v>
      </c>
      <c r="I14" s="76">
        <f t="shared" si="1"/>
        <v>3650000</v>
      </c>
      <c r="J14" s="76">
        <f t="shared" si="1"/>
        <v>4250000</v>
      </c>
      <c r="K14" s="76">
        <f t="shared" si="1"/>
        <v>4250000</v>
      </c>
      <c r="L14" s="76">
        <f t="shared" si="1"/>
        <v>4250000</v>
      </c>
      <c r="M14" s="76">
        <f t="shared" si="1"/>
        <v>4250000</v>
      </c>
      <c r="N14" s="76">
        <f t="shared" si="1"/>
        <v>4250000</v>
      </c>
      <c r="O14" s="76">
        <f t="shared" si="1"/>
        <v>4250000</v>
      </c>
      <c r="P14" s="63"/>
    </row>
    <row r="15" spans="2:16">
      <c r="B15" s="64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5"/>
      <c r="P15" s="63"/>
    </row>
    <row r="16" spans="2:16">
      <c r="B16" s="64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5"/>
      <c r="P16" s="63"/>
    </row>
    <row r="17" spans="2:16">
      <c r="B17" s="64"/>
      <c r="C17" s="77"/>
      <c r="D17" s="78"/>
      <c r="E17" s="79"/>
      <c r="F17" s="63"/>
      <c r="G17" s="63"/>
      <c r="H17" s="63"/>
      <c r="I17" s="63"/>
      <c r="J17" s="63"/>
      <c r="K17" s="63"/>
      <c r="L17" s="63"/>
      <c r="M17" s="63"/>
      <c r="N17" s="63"/>
      <c r="O17" s="65"/>
      <c r="P17" s="63"/>
    </row>
    <row r="18" spans="2:16">
      <c r="B18" s="64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5"/>
      <c r="P18" s="63"/>
    </row>
    <row r="19" spans="2:16">
      <c r="B19" s="64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5"/>
      <c r="P19" s="63"/>
    </row>
    <row r="20" spans="2:16">
      <c r="B20" s="64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5"/>
      <c r="P20" s="63"/>
    </row>
    <row r="21" spans="2:16" ht="15.75" customHeight="1">
      <c r="B21" s="64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5"/>
      <c r="P21" s="63"/>
    </row>
    <row r="22" spans="2:16" ht="15.75" customHeight="1">
      <c r="B22" s="64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5"/>
      <c r="P22" s="63"/>
    </row>
    <row r="23" spans="2:16" ht="15.75" customHeight="1">
      <c r="B23" s="64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5"/>
      <c r="P23" s="63"/>
    </row>
    <row r="24" spans="2:16" ht="15.75" customHeight="1">
      <c r="B24" s="64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5"/>
      <c r="P24" s="63"/>
    </row>
    <row r="25" spans="2:16" ht="15.75" customHeight="1">
      <c r="B25" s="64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5"/>
      <c r="P25" s="63"/>
    </row>
    <row r="26" spans="2:16" ht="15.75" customHeight="1">
      <c r="B26" s="64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5"/>
      <c r="P26" s="63"/>
    </row>
    <row r="27" spans="2:16" ht="15.75" customHeight="1">
      <c r="B27" s="64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5"/>
      <c r="P27" s="63"/>
    </row>
    <row r="28" spans="2:16" ht="15.75" customHeight="1">
      <c r="B28" s="64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5"/>
      <c r="P28" s="63"/>
    </row>
    <row r="29" spans="2:16" ht="15.75" customHeight="1"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5"/>
    </row>
    <row r="30" spans="2:16" ht="15.75" customHeight="1"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5"/>
    </row>
    <row r="31" spans="2:16" ht="15.75" customHeight="1"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5"/>
    </row>
    <row r="32" spans="2:16" ht="15.75" customHeight="1">
      <c r="B32" s="64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5"/>
    </row>
    <row r="33" spans="2:15" ht="15.75" customHeight="1">
      <c r="B33" s="64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5"/>
    </row>
    <row r="34" spans="2:15" ht="15.75" customHeight="1">
      <c r="B34" s="64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5"/>
    </row>
    <row r="35" spans="2:15" ht="15.75" customHeight="1"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5"/>
    </row>
    <row r="36" spans="2:15" ht="15.75" customHeight="1"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5"/>
    </row>
    <row r="37" spans="2:15" ht="15.75" customHeight="1">
      <c r="B37" s="64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5"/>
    </row>
    <row r="38" spans="2:15" ht="15.75" customHeight="1">
      <c r="B38" s="64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5"/>
    </row>
    <row r="39" spans="2:15" ht="15.75" customHeight="1"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2"/>
    </row>
    <row r="40" spans="2:15" ht="15.75" customHeight="1"/>
    <row r="41" spans="2:15" ht="15.75" customHeight="1"/>
    <row r="42" spans="2:15" ht="15.75" customHeight="1"/>
    <row r="43" spans="2:15" ht="15.75" customHeight="1"/>
    <row r="44" spans="2:15" ht="15.75" customHeight="1"/>
    <row r="45" spans="2:15" ht="15.75" customHeight="1"/>
    <row r="46" spans="2:15" ht="15.75" customHeight="1"/>
    <row r="47" spans="2:15" ht="15.75" customHeight="1"/>
    <row r="48" spans="2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9:O9"/>
    <mergeCell ref="B2:O3"/>
    <mergeCell ref="D6:O6"/>
    <mergeCell ref="D7:E7"/>
    <mergeCell ref="F7:G7"/>
    <mergeCell ref="H7:J7"/>
    <mergeCell ref="K7:L7"/>
    <mergeCell ref="M7:O7"/>
  </mergeCells>
  <pageMargins left="0.7" right="0.7" top="0.75" bottom="0.75" header="0" footer="0"/>
  <pageSetup scale="32" orientation="portrait"/>
  <headerFooter>
    <oddFooter>&amp;L_x000D_&amp;1#&amp;"Arial"&amp;7&amp;K000000 ***Este documento está clasificado como PUBLICO por TELEFÓNICA.
***This document is classified as PUBLIC by TELEFÓNICA.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Costos Planificados</vt:lpstr>
      <vt:lpstr>Detalle de Costos Reales</vt:lpstr>
      <vt:lpstr>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Farias Ana Graciela</dc:creator>
  <cp:lastModifiedBy>Farias Ana Graciela</cp:lastModifiedBy>
  <dcterms:created xsi:type="dcterms:W3CDTF">2023-10-11T21:13:48Z</dcterms:created>
  <dcterms:modified xsi:type="dcterms:W3CDTF">2024-05-21T20:45:05Z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bd4d2-aa7c-445f-9ef8-222ebb1d2b43_Enabled">
    <vt:lpwstr>true</vt:lpwstr>
  </property>
  <property fmtid="{D5CDD505-2E9C-101B-9397-08002B2CF9AE}" pid="3" name="MSIP_Label_e65bd4d2-aa7c-445f-9ef8-222ebb1d2b43_SetDate">
    <vt:lpwstr>2023-10-11T21:13:48Z</vt:lpwstr>
  </property>
  <property fmtid="{D5CDD505-2E9C-101B-9397-08002B2CF9AE}" pid="4" name="MSIP_Label_e65bd4d2-aa7c-445f-9ef8-222ebb1d2b43_Method">
    <vt:lpwstr>Privileged</vt:lpwstr>
  </property>
  <property fmtid="{D5CDD505-2E9C-101B-9397-08002B2CF9AE}" pid="5" name="MSIP_Label_e65bd4d2-aa7c-445f-9ef8-222ebb1d2b43_Name">
    <vt:lpwstr>e65bd4d2-aa7c-445f-9ef8-222ebb1d2b43</vt:lpwstr>
  </property>
  <property fmtid="{D5CDD505-2E9C-101B-9397-08002B2CF9AE}" pid="6" name="MSIP_Label_e65bd4d2-aa7c-445f-9ef8-222ebb1d2b43_SiteId">
    <vt:lpwstr>9744600e-3e04-492e-baa1-25ec245c6f10</vt:lpwstr>
  </property>
  <property fmtid="{D5CDD505-2E9C-101B-9397-08002B2CF9AE}" pid="7" name="MSIP_Label_e65bd4d2-aa7c-445f-9ef8-222ebb1d2b43_ActionId">
    <vt:lpwstr>b46cdfd7-33eb-44e6-8ad6-071d44b87054</vt:lpwstr>
  </property>
  <property fmtid="{D5CDD505-2E9C-101B-9397-08002B2CF9AE}" pid="8" name="MSIP_Label_e65bd4d2-aa7c-445f-9ef8-222ebb1d2b43_ContentBits">
    <vt:lpwstr>2</vt:lpwstr>
  </property>
</Properties>
</file>